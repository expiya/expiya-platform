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e150eea4e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_LISTS" sheetId="1" r:id="R10fc516f5a3646d9"/>
    <x:sheet xmlns:r="http://schemas.openxmlformats.org/officeDocument/2006/relationships" name="00_README" sheetId="2" r:id="R3a3e967a157c45eb"/>
    <x:sheet xmlns:r="http://schemas.openxmlformats.org/officeDocument/2006/relationships" name="01_VEHICLE_MODELS" sheetId="3" r:id="Rfc067fbd001349b0"/>
    <x:sheet xmlns:r="http://schemas.openxmlformats.org/officeDocument/2006/relationships" name="02_GENERATIONS" sheetId="4" r:id="R0a3e6193058a4071"/>
    <x:sheet xmlns:r="http://schemas.openxmlformats.org/officeDocument/2006/relationships" name="03_POWERTRAINS" sheetId="5" r:id="R574374eab47643df"/>
    <x:sheet xmlns:r="http://schemas.openxmlformats.org/officeDocument/2006/relationships" name="04_CONFIGURATIONS" sheetId="6" r:id="R129bbeaea45f4cdf"/>
    <x:sheet xmlns:r="http://schemas.openxmlformats.org/officeDocument/2006/relationships" name="05_EVIDENCE_FACTS" sheetId="7" r:id="R4622239505f44765"/>
    <x:sheet xmlns:r="http://schemas.openxmlformats.org/officeDocument/2006/relationships" name="06_EQUIPMENT" sheetId="8" r:id="R2d267eb10b83496a"/>
    <x:sheet xmlns:r="http://schemas.openxmlformats.org/officeDocument/2006/relationships" name="07_SAFETY" sheetId="9" r:id="R22821dc15d2c45d3"/>
    <x:sheet xmlns:r="http://schemas.openxmlformats.org/officeDocument/2006/relationships" name="08_SOURCES" sheetId="10" r:id="R0bc26ab204064dbf"/>
    <x:sheet xmlns:r="http://schemas.openxmlformats.org/officeDocument/2006/relationships" name="09_ASSERTIONS" sheetId="11" r:id="R0adc5d39f0b54541"/>
    <x:sheet xmlns:r="http://schemas.openxmlformats.org/officeDocument/2006/relationships" name="10_COLLECTION_QUEUE" sheetId="12" r:id="R4cb7fb41abf64795"/>
    <x:sheet xmlns:r="http://schemas.openxmlformats.org/officeDocument/2006/relationships" name="11_DATA_DICTIONARY" sheetId="13" r:id="R95e03063cf5d4a1f"/>
    <x:sheet xmlns:r="http://schemas.openxmlformats.org/officeDocument/2006/relationships" name="13_PILOT_COVERAGE" sheetId="14" r:id="Rd9e480548a3c484d"/>
    <x:sheet xmlns:r="http://schemas.openxmlformats.org/officeDocument/2006/relationships" name="14_SCALE_BATCH_01_COVERAGE" sheetId="15" r:id="Rea87ad792fd2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sz val="11"/>
      <x:color rgb="FF7F6000"/>
      <x:name val="Carlito"/>
    </x:font>
    <x:font>
      <x:b/>
      <x:sz val="11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  <x:fill>
      <x:patternFill patternType="solid">
        <x:fgColor rgb="FF183B56"/>
      </x:patternFill>
    </x:fill>
  </x:fills>
  <x:borders count="11">
    <x:border/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horizontal="center"/>
    </x:xf>
    <x:xf numFmtId="0" fontId="5" fillId="16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F4B084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4B08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b79eb80474c35" /><Relationship Type="http://schemas.openxmlformats.org/officeDocument/2006/relationships/theme" Target="/xl/theme/theme1.xml" Id="R60b626fb36ea4673" /><Relationship Type="http://schemas.openxmlformats.org/officeDocument/2006/relationships/sharedStrings" Target="/xl/sharedStrings.xml" Id="R04ace3d50d9d4b5d" /><Relationship Type="http://schemas.openxmlformats.org/officeDocument/2006/relationships/worksheet" Target="/xl/worksheets/sheet1.xml" Id="R10fc516f5a3646d9" /><Relationship Type="http://schemas.openxmlformats.org/officeDocument/2006/relationships/worksheet" Target="/xl/worksheets/sheet2.xml" Id="R3a3e967a157c45eb" /><Relationship Type="http://schemas.openxmlformats.org/officeDocument/2006/relationships/worksheet" Target="/xl/worksheets/sheet3.xml" Id="Rfc067fbd001349b0" /><Relationship Type="http://schemas.openxmlformats.org/officeDocument/2006/relationships/worksheet" Target="/xl/worksheets/sheet4.xml" Id="R0a3e6193058a4071" /><Relationship Type="http://schemas.openxmlformats.org/officeDocument/2006/relationships/worksheet" Target="/xl/worksheets/sheet5.xml" Id="R574374eab47643df" /><Relationship Type="http://schemas.openxmlformats.org/officeDocument/2006/relationships/worksheet" Target="/xl/worksheets/sheet6.xml" Id="R129bbeaea45f4cdf" /><Relationship Type="http://schemas.openxmlformats.org/officeDocument/2006/relationships/worksheet" Target="/xl/worksheets/sheet7.xml" Id="R4622239505f44765" /><Relationship Type="http://schemas.openxmlformats.org/officeDocument/2006/relationships/worksheet" Target="/xl/worksheets/sheet8.xml" Id="R2d267eb10b83496a" /><Relationship Type="http://schemas.openxmlformats.org/officeDocument/2006/relationships/worksheet" Target="/xl/worksheets/sheet9.xml" Id="R22821dc15d2c45d3" /><Relationship Type="http://schemas.openxmlformats.org/officeDocument/2006/relationships/worksheet" Target="/xl/worksheets/sheet10.xml" Id="R0bc26ab204064dbf" /><Relationship Type="http://schemas.openxmlformats.org/officeDocument/2006/relationships/worksheet" Target="/xl/worksheets/sheet11.xml" Id="R0adc5d39f0b54541" /><Relationship Type="http://schemas.openxmlformats.org/officeDocument/2006/relationships/worksheet" Target="/xl/worksheets/sheet12.xml" Id="R4cb7fb41abf64795" /><Relationship Type="http://schemas.openxmlformats.org/officeDocument/2006/relationships/worksheet" Target="/xl/worksheets/sheet13.xml" Id="R95e03063cf5d4a1f" /><Relationship Type="http://schemas.openxmlformats.org/officeDocument/2006/relationships/worksheet" Target="/xl/worksheets/sheet14.xml" Id="Rd9e480548a3c484d" /><Relationship Type="http://schemas.openxmlformats.org/officeDocument/2006/relationships/worksheet" Target="/xl/worksheets/sheet15.xml" Id="Rea87ad792fd24785" /></Relationships>
</file>

<file path=xl/tables/table1.xml><?xml version="1.0" encoding="utf-8"?>
<x:table xmlns:x="http://schemas.openxmlformats.org/spreadsheetml/2006/main" id="12" name="ListsTable" displayName="ListsTable" ref="A1:B182" headerRowCount="1" totalsRowCount="0" totalsRowShown="0">
  <x:tableColumns count="2">
    <x:tableColumn id="1" name="LIST_NAME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odelsTable" displayName="ModelsTable" ref="A1:H9" headerRowCount="1" totalsRowCount="0" totalsRowShown="0">
  <x:tableColumns count="8">
    <x:tableColumn id="1" name="model_id"/>
    <x:tableColumn id="2" name="brand"/>
    <x:tableColumn id="3" name="model_name"/>
    <x:tableColumn id="4" name="body_family"/>
    <x:tableColumn id="5" name="market_relevance_tr"/>
    <x:tableColumn id="6" name="source_catalog_status"/>
    <x:tableColumn id="7" name="legacy_source_id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GenerationsTable" displayName="GenerationsTable" ref="A1:L9" headerRowCount="1" totalsRowCount="0" totalsRowShown="0">
  <x:tableColumns count="12">
    <x:tableColumn id="1" name="generation_id"/>
    <x:tableColumn id="2" name="model_id"/>
    <x:tableColumn id="3" name="generation_name"/>
    <x:tableColumn id="4" name="generation_code"/>
    <x:tableColumn id="5" name="facelift_status"/>
    <x:tableColumn id="6" name="production_start_year"/>
    <x:tableColumn id="7" name="production_end_year"/>
    <x:tableColumn id="8" name="market_start_year_tr"/>
    <x:tableColumn id="9" name="market_end_year_tr"/>
    <x:tableColumn id="10" name="identity_status"/>
    <x:tableColumn id="11" name="legacy_source_id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PowertrainsTable" displayName="PowertrainsTable" ref="A1:P9" headerRowCount="1" totalsRowCount="0" totalsRowShown="0">
  <x:tableColumns count="16">
    <x:tableColumn id="1" name="powertrain_id"/>
    <x:tableColumn id="2" name="generation_id"/>
    <x:tableColumn id="3" name="marketing_name"/>
    <x:tableColumn id="4" name="fuel_type"/>
    <x:tableColumn id="5" name="electrification_type"/>
    <x:tableColumn id="6" name="engine_displacement_cc"/>
    <x:tableColumn id="7" name="power_kw"/>
    <x:tableColumn id="8" name="power_ps"/>
    <x:tableColumn id="9" name="torque_nm"/>
    <x:tableColumn id="10" name="transmission_type"/>
    <x:tableColumn id="11" name="transmission_gears"/>
    <x:tableColumn id="12" name="drivetrain"/>
    <x:tableColumn id="13" name="battery_usable_kwh"/>
    <x:tableColumn id="14" name="identity_status"/>
    <x:tableColumn id="15" name="legacy_motor_text"/>
    <x:tableColumn id="1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ConfigurationsTable" displayName="ConfigurationsTable" ref="A1:N9" headerRowCount="1" totalsRowCount="0" totalsRowShown="0">
  <x:tableColumns count="14">
    <x:tableColumn id="1" name="configuration_id"/>
    <x:tableColumn id="2" name="generation_id"/>
    <x:tableColumn id="3" name="powertrain_id"/>
    <x:tableColumn id="4" name="market"/>
    <x:tableColumn id="5" name="model_year"/>
    <x:tableColumn id="6" name="trim_name"/>
    <x:tableColumn id="7" name="official_configuration_name"/>
    <x:tableColumn id="8" name="availability_status"/>
    <x:tableColumn id="9" name="availability_from"/>
    <x:tableColumn id="10" name="availability_to"/>
    <x:tableColumn id="11" name="configuration_status"/>
    <x:tableColumn id="12" name="legacy_trim_text"/>
    <x:tableColumn id="13" name="legacy_source_id"/>
    <x:tableColumn id="1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FactsTable" displayName="FactsTable" ref="A1:U85" headerRowCount="1" totalsRowCount="0" totalsRowShown="0">
  <x:tableColumns count="21">
    <x:tableColumn id="1" name="fact_id"/>
    <x:tableColumn id="2" name="subject_type"/>
    <x:tableColumn id="3" name="subject_id"/>
    <x:tableColumn id="4" name="fact_key"/>
    <x:tableColumn id="5" name="value_type"/>
    <x:tableColumn id="6" name="value"/>
    <x:tableColumn id="7" name="unit"/>
    <x:tableColumn id="8" name="evidence_state"/>
    <x:tableColumn id="9" name="measurement_context"/>
    <x:tableColumn id="10" name="valid_from_model_year"/>
    <x:tableColumn id="11" name="valid_to_model_year"/>
    <x:tableColumn id="12" name="market"/>
    <x:tableColumn id="13" name="notes"/>
    <x:tableColumn id="14" name="value_min"/>
    <x:tableColumn id="15" name="value_max"/>
    <x:tableColumn id="16" name="range_semantics"/>
    <x:tableColumn id="17" name="source_value_semantics"/>
    <x:tableColumn id="18" name="source_value_raw"/>
    <x:tableColumn id="19" name="soc_start_pct"/>
    <x:tableColumn id="20" name="soc_end_pct"/>
    <x:tableColumn id="21" name="charge_power_context_k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EquipmentTable" displayName="EquipmentTable" ref="A1:F94" headerRowCount="1" totalsRowCount="0" totalsRowShown="0">
  <x:tableColumns count="6">
    <x:tableColumn id="1" name="equipment_id"/>
    <x:tableColumn id="2" name="configuration_id"/>
    <x:tableColumn id="3" name="equipment_key"/>
    <x:tableColumn id="4" name="availability"/>
    <x:tableColumn id="5" name="evidence_state"/>
    <x:tableColumn id="6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SafetyTable" displayName="SafetyTable" ref="A1:K2" headerRowCount="1" totalsRowCount="0" totalsRowShown="0">
  <x:tableColumns count="11">
    <x:tableColumn id="1" name="safety_id"/>
    <x:tableColumn id="2" name="generation_id"/>
    <x:tableColumn id="3" name="assessment_body"/>
    <x:tableColumn id="4" name="assessment_year"/>
    <x:tableColumn id="5" name="overall_rating"/>
    <x:tableColumn id="6" name="adult_occupant_score"/>
    <x:tableColumn id="7" name="child_occupant_score"/>
    <x:tableColumn id="8" name="vulnerable_road_user_score"/>
    <x:tableColumn id="9" name="safety_assist_score"/>
    <x:tableColumn id="10" name="applicability_status"/>
    <x:tableColumn id="11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3" name="SourcesTable" displayName="SourcesTable" ref="A1:P43" headerRowCount="1" totalsRowCount="0" totalsRowShown="0">
  <x:tableColumns count="16">
    <x:tableColumn id="1" name="source_id"/>
    <x:tableColumn id="2" name="publisher"/>
    <x:tableColumn id="3" name="source_title"/>
    <x:tableColumn id="4" name="source_type"/>
    <x:tableColumn id="5" name="source_url"/>
    <x:tableColumn id="6" name="market"/>
    <x:tableColumn id="7" name="publication_date"/>
    <x:tableColumn id="8" name="retrieved_at"/>
    <x:tableColumn id="9" name="authority_class"/>
    <x:tableColumn id="10" name="source_status"/>
    <x:tableColumn id="11" name="notes"/>
    <x:tableColumn id="12" name="source_url_canonical"/>
    <x:tableColumn id="13" name="source_version_label"/>
    <x:tableColumn id="14" name="source_observed_at"/>
    <x:tableColumn id="15" name="source_content_hash"/>
    <x:tableColumn id="16" name="source_snapshot_ref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AssertionsTable" displayName="AssertionsTable" ref="A1:K178" headerRowCount="1" totalsRowCount="0" totalsRowShown="0">
  <x:tableColumns count="11">
    <x:tableColumn id="1" name="assertion_id"/>
    <x:tableColumn id="2" name="evidence_type"/>
    <x:tableColumn id="3" name="evidence_id"/>
    <x:tableColumn id="4" name="source_id"/>
    <x:tableColumn id="5" name="source_location"/>
    <x:tableColumn id="6" name="extraction_method"/>
    <x:tableColumn id="7" name="verification_status"/>
    <x:tableColumn id="8" name="applicability_status"/>
    <x:tableColumn id="9" name="verified_at"/>
    <x:tableColumn id="10" name="verified_by"/>
    <x:tableColumn id="11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QueueTable" displayName="QueueTable" ref="A1:K49" headerRowCount="1" totalsRowCount="0" totalsRowShown="0">
  <x:tableColumns count="11">
    <x:tableColumn id="1" name="queue_id"/>
    <x:tableColumn id="2" name="subject_id"/>
    <x:tableColumn id="3" name="fact_key"/>
    <x:tableColumn id="4" name="priority"/>
    <x:tableColumn id="5" name="collection_status"/>
    <x:tableColumn id="6" name="preferred_source_type"/>
    <x:tableColumn id="7" name="assigned_method"/>
    <x:tableColumn id="8" name="attempt_count"/>
    <x:tableColumn id="9" name="last_attempt_at"/>
    <x:tableColumn id="10" name="result"/>
    <x:tableColumn id="11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DictionaryTable" displayName="DictionaryTable" ref="A1:J165" headerRowCount="1" totalsRowCount="0" totalsRowShown="0">
  <x:tableColumns count="10">
    <x:tableColumn id="1" name="sheet"/>
    <x:tableColumn id="2" name="field_key"/>
    <x:tableColumn id="3" name="description"/>
    <x:tableColumn id="4" name="data_type"/>
    <x:tableColumn id="5" name="requirement"/>
    <x:tableColumn id="6" name="canonical_unit"/>
    <x:tableColumn id="7" name="scope"/>
    <x:tableColumn id="8" name="allowed_values_or_rule"/>
    <x:tableColumn id="9" name="example"/>
    <x:tableColumn id="10" name="migration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f5fe3a20d44d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9efd05c66d48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e885c5ce0948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9ca00b51dc4a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c6f486b43849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aedcc8198d4b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17d03cb4ea46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b9f993bee64a1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b13661fb9444a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a3c04f53d7d4ee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bcf6bcc496d47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ac7c97138e0418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</x:cols>
  <x:sheetData>
    <x:row r="1">
      <x:c r="A1" s="6" t="str">
        <x:v>LIST_NAME</x:v>
      </x:c>
      <x:c r="B1" s="6" t="str">
        <x:v>VALUE</x:v>
      </x:c>
    </x:row>
    <x:row r="2">
      <x:c r="A2" t="str">
        <x:v>BODY_FAMILY</x:v>
      </x:c>
      <x:c r="B2" t="str">
        <x:v>HATCHBACK</x:v>
      </x:c>
    </x:row>
    <x:row r="3">
      <x:c r="A3" t="str">
        <x:v>BODY_FAMILY</x:v>
      </x:c>
      <x:c r="B3" t="str">
        <x:v>SEDAN</x:v>
      </x:c>
    </x:row>
    <x:row r="4">
      <x:c r="A4" t="str">
        <x:v>BODY_FAMILY</x:v>
      </x:c>
      <x:c r="B4" t="str">
        <x:v>WAGON</x:v>
      </x:c>
    </x:row>
    <x:row r="5">
      <x:c r="A5" t="str">
        <x:v>BODY_FAMILY</x:v>
      </x:c>
      <x:c r="B5" t="str">
        <x:v>SUV</x:v>
      </x:c>
    </x:row>
    <x:row r="6">
      <x:c r="A6" t="str">
        <x:v>BODY_FAMILY</x:v>
      </x:c>
      <x:c r="B6" t="str">
        <x:v>COUPE</x:v>
      </x:c>
    </x:row>
    <x:row r="7">
      <x:c r="A7" t="str">
        <x:v>BODY_FAMILY</x:v>
      </x:c>
      <x:c r="B7" t="str">
        <x:v>CONVERTIBLE</x:v>
      </x:c>
    </x:row>
    <x:row r="8">
      <x:c r="A8" t="str">
        <x:v>BODY_FAMILY</x:v>
      </x:c>
      <x:c r="B8" t="str">
        <x:v>MPV</x:v>
      </x:c>
    </x:row>
    <x:row r="9">
      <x:c r="A9" t="str">
        <x:v>BODY_FAMILY</x:v>
      </x:c>
      <x:c r="B9" t="str">
        <x:v>PICKUP</x:v>
      </x:c>
    </x:row>
    <x:row r="10">
      <x:c r="A10" t="str">
        <x:v>BODY_FAMILY</x:v>
      </x:c>
      <x:c r="B10" t="str">
        <x:v>VAN</x:v>
      </x:c>
    </x:row>
    <x:row r="11">
      <x:c r="A11" t="str">
        <x:v>BODY_FAMILY</x:v>
      </x:c>
      <x:c r="B11" t="str">
        <x:v>OTHER</x:v>
      </x:c>
    </x:row>
    <x:row r="12">
      <x:c r="A12" t="str">
        <x:v>BODY_FAMILY</x:v>
      </x:c>
      <x:c r="B12" t="str">
        <x:v>UNKNOWN</x:v>
      </x:c>
    </x:row>
    <x:row r="13">
      <x:c r="A13" t="str">
        <x:v>MARKET_RELEVANCE_TR</x:v>
      </x:c>
      <x:c r="B13" t="str">
        <x:v>CURRENT</x:v>
      </x:c>
    </x:row>
    <x:row r="14">
      <x:c r="A14" t="str">
        <x:v>MARKET_RELEVANCE_TR</x:v>
      </x:c>
      <x:c r="B14" t="str">
        <x:v>RECENT</x:v>
      </x:c>
    </x:row>
    <x:row r="15">
      <x:c r="A15" t="str">
        <x:v>MARKET_RELEVANCE_TR</x:v>
      </x:c>
      <x:c r="B15" t="str">
        <x:v>HISTORICAL</x:v>
      </x:c>
    </x:row>
    <x:row r="16">
      <x:c r="A16" t="str">
        <x:v>MARKET_RELEVANCE_TR</x:v>
      </x:c>
      <x:c r="B16" t="str">
        <x:v>CANDIDATE</x:v>
      </x:c>
    </x:row>
    <x:row r="17">
      <x:c r="A17" t="str">
        <x:v>MARKET_RELEVANCE_TR</x:v>
      </x:c>
      <x:c r="B17" t="str">
        <x:v>NOT_RELEVANT</x:v>
      </x:c>
    </x:row>
    <x:row r="18">
      <x:c r="A18" t="str">
        <x:v>MARKET_RELEVANCE_TR</x:v>
      </x:c>
      <x:c r="B18" t="str">
        <x:v>UNKNOWN</x:v>
      </x:c>
    </x:row>
    <x:row r="19">
      <x:c r="A19" t="str">
        <x:v>SOURCE_CATALOG_STATUS</x:v>
      </x:c>
      <x:c r="B19" t="str">
        <x:v>RESMI_KAYNAKTAN_DERLENDI</x:v>
      </x:c>
    </x:row>
    <x:row r="20">
      <x:c r="A20" t="str">
        <x:v>SOURCE_CATALOG_STATUS</x:v>
      </x:c>
      <x:c r="B20" t="str">
        <x:v>ACIK_VERI_KATALOG_ADAYI</x:v>
      </x:c>
    </x:row>
    <x:row r="21">
      <x:c r="A21" t="str">
        <x:v>SOURCE_CATALOG_STATUS</x:v>
      </x:c>
      <x:c r="B21" t="str">
        <x:v>OTHER</x:v>
      </x:c>
    </x:row>
    <x:row r="22">
      <x:c r="A22" t="str">
        <x:v>SOURCE_CATALOG_STATUS</x:v>
      </x:c>
      <x:c r="B22" t="str">
        <x:v>UNKNOWN</x:v>
      </x:c>
    </x:row>
    <x:row r="23">
      <x:c r="A23" t="str">
        <x:v>IDENTITY_STATUS</x:v>
      </x:c>
      <x:c r="B23" t="str">
        <x:v>VERIFIED</x:v>
      </x:c>
    </x:row>
    <x:row r="24">
      <x:c r="A24" t="str">
        <x:v>IDENTITY_STATUS</x:v>
      </x:c>
      <x:c r="B24" t="str">
        <x:v>PROVISIONAL</x:v>
      </x:c>
    </x:row>
    <x:row r="25">
      <x:c r="A25" t="str">
        <x:v>IDENTITY_STATUS</x:v>
      </x:c>
      <x:c r="B25" t="str">
        <x:v>UNRESOLVED</x:v>
      </x:c>
    </x:row>
    <x:row r="26">
      <x:c r="A26" t="str">
        <x:v>FACELIFT_STATUS</x:v>
      </x:c>
      <x:c r="B26" t="str">
        <x:v>PRE_FACELIFT</x:v>
      </x:c>
    </x:row>
    <x:row r="27">
      <x:c r="A27" t="str">
        <x:v>FACELIFT_STATUS</x:v>
      </x:c>
      <x:c r="B27" t="str">
        <x:v>FACELIFT</x:v>
      </x:c>
    </x:row>
    <x:row r="28">
      <x:c r="A28" t="str">
        <x:v>FACELIFT_STATUS</x:v>
      </x:c>
      <x:c r="B28" t="str">
        <x:v>POST_FACELIFT</x:v>
      </x:c>
    </x:row>
    <x:row r="29">
      <x:c r="A29" t="str">
        <x:v>FACELIFT_STATUS</x:v>
      </x:c>
      <x:c r="B29" t="str">
        <x:v>NOT_APPLICABLE</x:v>
      </x:c>
    </x:row>
    <x:row r="30">
      <x:c r="A30" t="str">
        <x:v>FACELIFT_STATUS</x:v>
      </x:c>
      <x:c r="B30" t="str">
        <x:v>UNKNOWN</x:v>
      </x:c>
    </x:row>
    <x:row r="31">
      <x:c r="A31" t="str">
        <x:v>FUEL_TYPE</x:v>
      </x:c>
      <x:c r="B31" t="str">
        <x:v>PETROL</x:v>
      </x:c>
    </x:row>
    <x:row r="32">
      <x:c r="A32" t="str">
        <x:v>FUEL_TYPE</x:v>
      </x:c>
      <x:c r="B32" t="str">
        <x:v>DIESEL</x:v>
      </x:c>
    </x:row>
    <x:row r="33">
      <x:c r="A33" t="str">
        <x:v>FUEL_TYPE</x:v>
      </x:c>
      <x:c r="B33" t="str">
        <x:v>LPG</x:v>
      </x:c>
    </x:row>
    <x:row r="34">
      <x:c r="A34" t="str">
        <x:v>FUEL_TYPE</x:v>
      </x:c>
      <x:c r="B34" t="str">
        <x:v>ELECTRIC</x:v>
      </x:c>
    </x:row>
    <x:row r="35">
      <x:c r="A35" t="str">
        <x:v>FUEL_TYPE</x:v>
      </x:c>
      <x:c r="B35" t="str">
        <x:v>HYDROGEN</x:v>
      </x:c>
    </x:row>
    <x:row r="36">
      <x:c r="A36" t="str">
        <x:v>FUEL_TYPE</x:v>
      </x:c>
      <x:c r="B36" t="str">
        <x:v>OTHER</x:v>
      </x:c>
    </x:row>
    <x:row r="37">
      <x:c r="A37" t="str">
        <x:v>FUEL_TYPE</x:v>
      </x:c>
      <x:c r="B37" t="str">
        <x:v>UNKNOWN</x:v>
      </x:c>
    </x:row>
    <x:row r="38">
      <x:c r="A38" t="str">
        <x:v>ELECTRIFICATION_TYPE</x:v>
      </x:c>
      <x:c r="B38" t="str">
        <x:v>NONE</x:v>
      </x:c>
    </x:row>
    <x:row r="39">
      <x:c r="A39" t="str">
        <x:v>ELECTRIFICATION_TYPE</x:v>
      </x:c>
      <x:c r="B39" t="str">
        <x:v>MHEV</x:v>
      </x:c>
    </x:row>
    <x:row r="40">
      <x:c r="A40" t="str">
        <x:v>ELECTRIFICATION_TYPE</x:v>
      </x:c>
      <x:c r="B40" t="str">
        <x:v>HEV</x:v>
      </x:c>
    </x:row>
    <x:row r="41">
      <x:c r="A41" t="str">
        <x:v>ELECTRIFICATION_TYPE</x:v>
      </x:c>
      <x:c r="B41" t="str">
        <x:v>PHEV</x:v>
      </x:c>
    </x:row>
    <x:row r="42">
      <x:c r="A42" t="str">
        <x:v>ELECTRIFICATION_TYPE</x:v>
      </x:c>
      <x:c r="B42" t="str">
        <x:v>BEV</x:v>
      </x:c>
    </x:row>
    <x:row r="43">
      <x:c r="A43" t="str">
        <x:v>ELECTRIFICATION_TYPE</x:v>
      </x:c>
      <x:c r="B43" t="str">
        <x:v>FCEV</x:v>
      </x:c>
    </x:row>
    <x:row r="44">
      <x:c r="A44" t="str">
        <x:v>ELECTRIFICATION_TYPE</x:v>
      </x:c>
      <x:c r="B44" t="str">
        <x:v>OTHER</x:v>
      </x:c>
    </x:row>
    <x:row r="45">
      <x:c r="A45" t="str">
        <x:v>ELECTRIFICATION_TYPE</x:v>
      </x:c>
      <x:c r="B45" t="str">
        <x:v>UNKNOWN</x:v>
      </x:c>
    </x:row>
    <x:row r="46">
      <x:c r="A46" t="str">
        <x:v>TRANSMISSION_TYPE</x:v>
      </x:c>
      <x:c r="B46" t="str">
        <x:v>MANUAL</x:v>
      </x:c>
    </x:row>
    <x:row r="47">
      <x:c r="A47" t="str">
        <x:v>TRANSMISSION_TYPE</x:v>
      </x:c>
      <x:c r="B47" t="str">
        <x:v>AUTOMATIC</x:v>
      </x:c>
    </x:row>
    <x:row r="48">
      <x:c r="A48" t="str">
        <x:v>TRANSMISSION_TYPE</x:v>
      </x:c>
      <x:c r="B48" t="str">
        <x:v>DCT</x:v>
      </x:c>
    </x:row>
    <x:row r="49">
      <x:c r="A49" t="str">
        <x:v>TRANSMISSION_TYPE</x:v>
      </x:c>
      <x:c r="B49" t="str">
        <x:v>CVT</x:v>
      </x:c>
    </x:row>
    <x:row r="50">
      <x:c r="A50" t="str">
        <x:v>TRANSMISSION_TYPE</x:v>
      </x:c>
      <x:c r="B50" t="str">
        <x:v>E_CVT</x:v>
      </x:c>
    </x:row>
    <x:row r="51">
      <x:c r="A51" t="str">
        <x:v>TRANSMISSION_TYPE</x:v>
      </x:c>
      <x:c r="B51" t="str">
        <x:v>SINGLE_SPEED</x:v>
      </x:c>
    </x:row>
    <x:row r="52">
      <x:c r="A52" t="str">
        <x:v>TRANSMISSION_TYPE</x:v>
      </x:c>
      <x:c r="B52" t="str">
        <x:v>OTHER</x:v>
      </x:c>
    </x:row>
    <x:row r="53">
      <x:c r="A53" t="str">
        <x:v>TRANSMISSION_TYPE</x:v>
      </x:c>
      <x:c r="B53" t="str">
        <x:v>UNKNOWN</x:v>
      </x:c>
    </x:row>
    <x:row r="54">
      <x:c r="A54" t="str">
        <x:v>DRIVETRAIN</x:v>
      </x:c>
      <x:c r="B54" t="str">
        <x:v>FWD</x:v>
      </x:c>
    </x:row>
    <x:row r="55">
      <x:c r="A55" t="str">
        <x:v>DRIVETRAIN</x:v>
      </x:c>
      <x:c r="B55" t="str">
        <x:v>RWD</x:v>
      </x:c>
    </x:row>
    <x:row r="56">
      <x:c r="A56" t="str">
        <x:v>DRIVETRAIN</x:v>
      </x:c>
      <x:c r="B56" t="str">
        <x:v>AWD</x:v>
      </x:c>
    </x:row>
    <x:row r="57">
      <x:c r="A57" t="str">
        <x:v>DRIVETRAIN</x:v>
      </x:c>
      <x:c r="B57" t="str">
        <x:v>4WD</x:v>
      </x:c>
    </x:row>
    <x:row r="58">
      <x:c r="A58" t="str">
        <x:v>DRIVETRAIN</x:v>
      </x:c>
      <x:c r="B58" t="str">
        <x:v>UNKNOWN</x:v>
      </x:c>
    </x:row>
    <x:row r="59">
      <x:c r="A59" t="str">
        <x:v>MARKET</x:v>
      </x:c>
      <x:c r="B59" t="str">
        <x:v>TR</x:v>
      </x:c>
    </x:row>
    <x:row r="60">
      <x:c r="A60" t="str">
        <x:v>AVAILABILITY_STATUS</x:v>
      </x:c>
      <x:c r="B60" t="str">
        <x:v>CURRENT</x:v>
      </x:c>
    </x:row>
    <x:row r="61">
      <x:c r="A61" t="str">
        <x:v>AVAILABILITY_STATUS</x:v>
      </x:c>
      <x:c r="B61" t="str">
        <x:v>ORDERABLE</x:v>
      </x:c>
    </x:row>
    <x:row r="62">
      <x:c r="A62" t="str">
        <x:v>AVAILABILITY_STATUS</x:v>
      </x:c>
      <x:c r="B62" t="str">
        <x:v>LIMITED</x:v>
      </x:c>
    </x:row>
    <x:row r="63">
      <x:c r="A63" t="str">
        <x:v>AVAILABILITY_STATUS</x:v>
      </x:c>
      <x:c r="B63" t="str">
        <x:v>DISCONTINUED</x:v>
      </x:c>
    </x:row>
    <x:row r="64">
      <x:c r="A64" t="str">
        <x:v>AVAILABILITY_STATUS</x:v>
      </x:c>
      <x:c r="B64" t="str">
        <x:v>HISTORICAL</x:v>
      </x:c>
    </x:row>
    <x:row r="65">
      <x:c r="A65" t="str">
        <x:v>AVAILABILITY_STATUS</x:v>
      </x:c>
      <x:c r="B65" t="str">
        <x:v>UNKNOWN</x:v>
      </x:c>
    </x:row>
    <x:row r="66">
      <x:c r="A66" t="str">
        <x:v>CONFIGURATION_STATUS</x:v>
      </x:c>
      <x:c r="B66" t="str">
        <x:v>VERIFIED</x:v>
      </x:c>
    </x:row>
    <x:row r="67">
      <x:c r="A67" t="str">
        <x:v>CONFIGURATION_STATUS</x:v>
      </x:c>
      <x:c r="B67" t="str">
        <x:v>PROVISIONAL</x:v>
      </x:c>
    </x:row>
    <x:row r="68">
      <x:c r="A68" t="str">
        <x:v>CONFIGURATION_STATUS</x:v>
      </x:c>
      <x:c r="B68" t="str">
        <x:v>UNRESOLVED</x:v>
      </x:c>
    </x:row>
    <x:row r="69">
      <x:c r="A69" t="str">
        <x:v>SUBJECT_TYPE</x:v>
      </x:c>
      <x:c r="B69" t="str">
        <x:v>MODEL</x:v>
      </x:c>
    </x:row>
    <x:row r="70">
      <x:c r="A70" t="str">
        <x:v>SUBJECT_TYPE</x:v>
      </x:c>
      <x:c r="B70" t="str">
        <x:v>GENERATION</x:v>
      </x:c>
    </x:row>
    <x:row r="71">
      <x:c r="A71" t="str">
        <x:v>SUBJECT_TYPE</x:v>
      </x:c>
      <x:c r="B71" t="str">
        <x:v>POWERTRAIN</x:v>
      </x:c>
    </x:row>
    <x:row r="72">
      <x:c r="A72" t="str">
        <x:v>SUBJECT_TYPE</x:v>
      </x:c>
      <x:c r="B72" t="str">
        <x:v>CONFIGURATION</x:v>
      </x:c>
    </x:row>
    <x:row r="73">
      <x:c r="A73" t="str">
        <x:v>VALUE_TYPE</x:v>
      </x:c>
      <x:c r="B73" t="str">
        <x:v>NUMBER</x:v>
      </x:c>
    </x:row>
    <x:row r="74">
      <x:c r="A74" t="str">
        <x:v>VALUE_TYPE</x:v>
      </x:c>
      <x:c r="B74" t="str">
        <x:v>TEXT</x:v>
      </x:c>
    </x:row>
    <x:row r="75">
      <x:c r="A75" t="str">
        <x:v>VALUE_TYPE</x:v>
      </x:c>
      <x:c r="B75" t="str">
        <x:v>BOOLEAN</x:v>
      </x:c>
    </x:row>
    <x:row r="76">
      <x:c r="A76" t="str">
        <x:v>VALUE_TYPE</x:v>
      </x:c>
      <x:c r="B76" t="str">
        <x:v>ENUM</x:v>
      </x:c>
    </x:row>
    <x:row r="77">
      <x:c r="A77" t="str">
        <x:v>VALUE_TYPE</x:v>
      </x:c>
      <x:c r="B77" t="str">
        <x:v>DATE</x:v>
      </x:c>
    </x:row>
    <x:row r="78">
      <x:c r="A78" t="str">
        <x:v>EVIDENCE_STATE</x:v>
      </x:c>
      <x:c r="B78" t="str">
        <x:v>VERIFIED</x:v>
      </x:c>
    </x:row>
    <x:row r="79">
      <x:c r="A79" t="str">
        <x:v>EVIDENCE_STATE</x:v>
      </x:c>
      <x:c r="B79" t="str">
        <x:v>REPORTED</x:v>
      </x:c>
    </x:row>
    <x:row r="80">
      <x:c r="A80" t="str">
        <x:v>EVIDENCE_STATE</x:v>
      </x:c>
      <x:c r="B80" t="str">
        <x:v>UNKNOWN</x:v>
      </x:c>
    </x:row>
    <x:row r="81">
      <x:c r="A81" t="str">
        <x:v>EVIDENCE_STATE</x:v>
      </x:c>
      <x:c r="B81" t="str">
        <x:v>NOT_AVAILABLE</x:v>
      </x:c>
    </x:row>
    <x:row r="82">
      <x:c r="A82" t="str">
        <x:v>EVIDENCE_STATE</x:v>
      </x:c>
      <x:c r="B82" t="str">
        <x:v>NOT_APPLICABLE</x:v>
      </x:c>
    </x:row>
    <x:row r="83">
      <x:c r="A83" t="str">
        <x:v>EVIDENCE_STATE</x:v>
      </x:c>
      <x:c r="B83" t="str">
        <x:v>CONFLICTING</x:v>
      </x:c>
    </x:row>
    <x:row r="84">
      <x:c r="A84" t="str">
        <x:v>EQUIPMENT_AVAILABILITY</x:v>
      </x:c>
      <x:c r="B84" t="str">
        <x:v>STANDARD</x:v>
      </x:c>
    </x:row>
    <x:row r="85">
      <x:c r="A85" t="str">
        <x:v>EQUIPMENT_AVAILABILITY</x:v>
      </x:c>
      <x:c r="B85" t="str">
        <x:v>OPTIONAL</x:v>
      </x:c>
    </x:row>
    <x:row r="86">
      <x:c r="A86" t="str">
        <x:v>EQUIPMENT_AVAILABILITY</x:v>
      </x:c>
      <x:c r="B86" t="str">
        <x:v>NOT_AVAILABLE</x:v>
      </x:c>
    </x:row>
    <x:row r="87">
      <x:c r="A87" t="str">
        <x:v>EQUIPMENT_AVAILABILITY</x:v>
      </x:c>
      <x:c r="B87" t="str">
        <x:v>UNKNOWN</x:v>
      </x:c>
    </x:row>
    <x:row r="88">
      <x:c r="A88" t="str">
        <x:v>ASSESSMENT_BODY</x:v>
      </x:c>
      <x:c r="B88" t="str">
        <x:v>EURO_NCAP</x:v>
      </x:c>
    </x:row>
    <x:row r="89">
      <x:c r="A89" t="str">
        <x:v>ASSESSMENT_BODY</x:v>
      </x:c>
      <x:c r="B89" t="str">
        <x:v>ANCAP</x:v>
      </x:c>
    </x:row>
    <x:row r="90">
      <x:c r="A90" t="str">
        <x:v>ASSESSMENT_BODY</x:v>
      </x:c>
      <x:c r="B90" t="str">
        <x:v>IIHS</x:v>
      </x:c>
    </x:row>
    <x:row r="91">
      <x:c r="A91" t="str">
        <x:v>ASSESSMENT_BODY</x:v>
      </x:c>
      <x:c r="B91" t="str">
        <x:v>NHTSA</x:v>
      </x:c>
    </x:row>
    <x:row r="92">
      <x:c r="A92" t="str">
        <x:v>ASSESSMENT_BODY</x:v>
      </x:c>
      <x:c r="B92" t="str">
        <x:v>OTHER</x:v>
      </x:c>
    </x:row>
    <x:row r="93">
      <x:c r="A93" t="str">
        <x:v>APPLICABILITY_STATUS</x:v>
      </x:c>
      <x:c r="B93" t="str">
        <x:v>EXACT</x:v>
      </x:c>
    </x:row>
    <x:row r="94">
      <x:c r="A94" t="str">
        <x:v>APPLICABILITY_STATUS</x:v>
      </x:c>
      <x:c r="B94" t="str">
        <x:v>PARTIAL</x:v>
      </x:c>
    </x:row>
    <x:row r="95">
      <x:c r="A95" t="str">
        <x:v>APPLICABILITY_STATUS</x:v>
      </x:c>
      <x:c r="B95" t="str">
        <x:v>UNCERTAIN</x:v>
      </x:c>
    </x:row>
    <x:row r="96">
      <x:c r="A96" t="str">
        <x:v>APPLICABILITY_STATUS</x:v>
      </x:c>
      <x:c r="B96" t="str">
        <x:v>NOT_APPLICABLE</x:v>
      </x:c>
    </x:row>
    <x:row r="97">
      <x:c r="A97" t="str">
        <x:v>APPLICABILITY_STATUS</x:v>
      </x:c>
      <x:c r="B97" t="str">
        <x:v>CONFLICTING</x:v>
      </x:c>
    </x:row>
    <x:row r="98">
      <x:c r="A98" t="str">
        <x:v>SOURCE_TYPE</x:v>
      </x:c>
      <x:c r="B98" t="str">
        <x:v>OFFICIAL_WEB</x:v>
      </x:c>
    </x:row>
    <x:row r="99">
      <x:c r="A99" t="str">
        <x:v>SOURCE_TYPE</x:v>
      </x:c>
      <x:c r="B99" t="str">
        <x:v>OFFICIAL_BROCHURE</x:v>
      </x:c>
    </x:row>
    <x:row r="100">
      <x:c r="A100" t="str">
        <x:v>SOURCE_TYPE</x:v>
      </x:c>
      <x:c r="B100" t="str">
        <x:v>OFFICIAL_TECH_SPEC</x:v>
      </x:c>
    </x:row>
    <x:row r="101">
      <x:c r="A101" t="str">
        <x:v>SOURCE_TYPE</x:v>
      </x:c>
      <x:c r="B101" t="str">
        <x:v>OFFICIAL_PRICE_LIST</x:v>
      </x:c>
    </x:row>
    <x:row r="102">
      <x:c r="A102" t="str">
        <x:v>SOURCE_TYPE</x:v>
      </x:c>
      <x:c r="B102" t="str">
        <x:v>OFFICIAL_MANUAL</x:v>
      </x:c>
    </x:row>
    <x:row r="103">
      <x:c r="A103" t="str">
        <x:v>SOURCE_TYPE</x:v>
      </x:c>
      <x:c r="B103" t="str">
        <x:v>REGULATOR_DATA</x:v>
      </x:c>
    </x:row>
    <x:row r="104">
      <x:c r="A104" t="str">
        <x:v>SOURCE_TYPE</x:v>
      </x:c>
      <x:c r="B104" t="str">
        <x:v>SAFETY_ASSESSMENT</x:v>
      </x:c>
    </x:row>
    <x:row r="105">
      <x:c r="A105" t="str">
        <x:v>SOURCE_TYPE</x:v>
      </x:c>
      <x:c r="B105" t="str">
        <x:v>STRUCTURED_AUTOMOTIVE_DATA</x:v>
      </x:c>
    </x:row>
    <x:row r="106">
      <x:c r="A106" t="str">
        <x:v>SOURCE_TYPE</x:v>
      </x:c>
      <x:c r="B106" t="str">
        <x:v>TRUSTED_SECONDARY</x:v>
      </x:c>
    </x:row>
    <x:row r="107">
      <x:c r="A107" t="str">
        <x:v>SOURCE_TYPE</x:v>
      </x:c>
      <x:c r="B107" t="str">
        <x:v>COMMUNITY</x:v>
      </x:c>
    </x:row>
    <x:row r="108">
      <x:c r="A108" t="str">
        <x:v>SOURCE_TYPE</x:v>
      </x:c>
      <x:c r="B108" t="str">
        <x:v>USER_EXPERIENCE</x:v>
      </x:c>
    </x:row>
    <x:row r="109">
      <x:c r="A109" t="str">
        <x:v>SOURCE_TYPE</x:v>
      </x:c>
      <x:c r="B109" t="str">
        <x:v>OTHER</x:v>
      </x:c>
    </x:row>
    <x:row r="110">
      <x:c r="A110" t="str">
        <x:v>AUTHORITY_CLASS</x:v>
      </x:c>
      <x:c r="B110" t="str">
        <x:v>A1_OFFICIAL_MARKET</x:v>
      </x:c>
    </x:row>
    <x:row r="111">
      <x:c r="A111" t="str">
        <x:v>AUTHORITY_CLASS</x:v>
      </x:c>
      <x:c r="B111" t="str">
        <x:v>A2_OFFICIAL_MANUFACTURER</x:v>
      </x:c>
    </x:row>
    <x:row r="112">
      <x:c r="A112" t="str">
        <x:v>AUTHORITY_CLASS</x:v>
      </x:c>
      <x:c r="B112" t="str">
        <x:v>A3_AUTHORITATIVE_INDEPENDENT</x:v>
      </x:c>
    </x:row>
    <x:row r="113">
      <x:c r="A113" t="str">
        <x:v>AUTHORITY_CLASS</x:v>
      </x:c>
      <x:c r="B113" t="str">
        <x:v>A4_TRUSTED_STRUCTURED</x:v>
      </x:c>
    </x:row>
    <x:row r="114">
      <x:c r="A114" t="str">
        <x:v>AUTHORITY_CLASS</x:v>
      </x:c>
      <x:c r="B114" t="str">
        <x:v>A5_TRUSTED_SECONDARY</x:v>
      </x:c>
    </x:row>
    <x:row r="115">
      <x:c r="A115" t="str">
        <x:v>AUTHORITY_CLASS</x:v>
      </x:c>
      <x:c r="B115" t="str">
        <x:v>A6_EXPIYA_EXPERIENCE</x:v>
      </x:c>
    </x:row>
    <x:row r="116">
      <x:c r="A116" t="str">
        <x:v>AUTHORITY_CLASS</x:v>
      </x:c>
      <x:c r="B116" t="str">
        <x:v>A7_COMMUNITY</x:v>
      </x:c>
    </x:row>
    <x:row r="117">
      <x:c r="A117" t="str">
        <x:v>AUTHORITY_CLASS</x:v>
      </x:c>
      <x:c r="B117" t="str">
        <x:v>UNKNOWN</x:v>
      </x:c>
    </x:row>
    <x:row r="118">
      <x:c r="A118" t="str">
        <x:v>SOURCE_STATUS</x:v>
      </x:c>
      <x:c r="B118" t="str">
        <x:v>ACTIVE</x:v>
      </x:c>
    </x:row>
    <x:row r="119">
      <x:c r="A119" t="str">
        <x:v>SOURCE_STATUS</x:v>
      </x:c>
      <x:c r="B119" t="str">
        <x:v>ARCHIVED</x:v>
      </x:c>
    </x:row>
    <x:row r="120">
      <x:c r="A120" t="str">
        <x:v>SOURCE_STATUS</x:v>
      </x:c>
      <x:c r="B120" t="str">
        <x:v>UNAVAILABLE</x:v>
      </x:c>
    </x:row>
    <x:row r="121">
      <x:c r="A121" t="str">
        <x:v>SOURCE_STATUS</x:v>
      </x:c>
      <x:c r="B121" t="str">
        <x:v>SUPERSEDED</x:v>
      </x:c>
    </x:row>
    <x:row r="122">
      <x:c r="A122" t="str">
        <x:v>SOURCE_STATUS</x:v>
      </x:c>
      <x:c r="B122" t="str">
        <x:v>UNKNOWN</x:v>
      </x:c>
    </x:row>
    <x:row r="123">
      <x:c r="A123" t="str">
        <x:v>EVIDENCE_TYPE</x:v>
      </x:c>
      <x:c r="B123" t="str">
        <x:v>TECHNICAL_FACT</x:v>
      </x:c>
    </x:row>
    <x:row r="124">
      <x:c r="A124" t="str">
        <x:v>EVIDENCE_TYPE</x:v>
      </x:c>
      <x:c r="B124" t="str">
        <x:v>EQUIPMENT_FACT</x:v>
      </x:c>
    </x:row>
    <x:row r="125">
      <x:c r="A125" t="str">
        <x:v>EVIDENCE_TYPE</x:v>
      </x:c>
      <x:c r="B125" t="str">
        <x:v>SAFETY_ASSESSMENT</x:v>
      </x:c>
    </x:row>
    <x:row r="126">
      <x:c r="A126" t="str">
        <x:v>EXTRACTION_METHOD</x:v>
      </x:c>
      <x:c r="B126" t="str">
        <x:v>STRUCTURED_IMPORT</x:v>
      </x:c>
    </x:row>
    <x:row r="127">
      <x:c r="A127" t="str">
        <x:v>EXTRACTION_METHOD</x:v>
      </x:c>
      <x:c r="B127" t="str">
        <x:v>SCRIPT_EXTRACTED</x:v>
      </x:c>
    </x:row>
    <x:row r="128">
      <x:c r="A128" t="str">
        <x:v>EXTRACTION_METHOD</x:v>
      </x:c>
      <x:c r="B128" t="str">
        <x:v>MANUAL</x:v>
      </x:c>
    </x:row>
    <x:row r="129">
      <x:c r="A129" t="str">
        <x:v>EXTRACTION_METHOD</x:v>
      </x:c>
      <x:c r="B129" t="str">
        <x:v>LLM_ASSISTED</x:v>
      </x:c>
    </x:row>
    <x:row r="130">
      <x:c r="A130" t="str">
        <x:v>VERIFICATION_STATUS</x:v>
      </x:c>
      <x:c r="B130" t="str">
        <x:v>VERIFIED</x:v>
      </x:c>
    </x:row>
    <x:row r="131">
      <x:c r="A131" t="str">
        <x:v>VERIFICATION_STATUS</x:v>
      </x:c>
      <x:c r="B131" t="str">
        <x:v>UNVERIFIED</x:v>
      </x:c>
    </x:row>
    <x:row r="132">
      <x:c r="A132" t="str">
        <x:v>VERIFICATION_STATUS</x:v>
      </x:c>
      <x:c r="B132" t="str">
        <x:v>REJECTED</x:v>
      </x:c>
    </x:row>
    <x:row r="133">
      <x:c r="A133" t="str">
        <x:v>VERIFICATION_STATUS</x:v>
      </x:c>
      <x:c r="B133" t="str">
        <x:v>CONFLICTING</x:v>
      </x:c>
    </x:row>
    <x:row r="134">
      <x:c r="A134" t="str">
        <x:v>PRIORITY</x:v>
      </x:c>
      <x:c r="B134" t="str">
        <x:v>P0</x:v>
      </x:c>
    </x:row>
    <x:row r="135">
      <x:c r="A135" t="str">
        <x:v>PRIORITY</x:v>
      </x:c>
      <x:c r="B135" t="str">
        <x:v>P1</x:v>
      </x:c>
    </x:row>
    <x:row r="136">
      <x:c r="A136" t="str">
        <x:v>PRIORITY</x:v>
      </x:c>
      <x:c r="B136" t="str">
        <x:v>P2</x:v>
      </x:c>
    </x:row>
    <x:row r="137">
      <x:c r="A137" t="str">
        <x:v>COLLECTION_STATUS</x:v>
      </x:c>
      <x:c r="B137" t="str">
        <x:v>NOT_STARTED</x:v>
      </x:c>
    </x:row>
    <x:row r="138">
      <x:c r="A138" t="str">
        <x:v>COLLECTION_STATUS</x:v>
      </x:c>
      <x:c r="B138" t="str">
        <x:v>IN_PROGRESS</x:v>
      </x:c>
    </x:row>
    <x:row r="139">
      <x:c r="A139" t="str">
        <x:v>COLLECTION_STATUS</x:v>
      </x:c>
      <x:c r="B139" t="str">
        <x:v>BLOCKED</x:v>
      </x:c>
    </x:row>
    <x:row r="140">
      <x:c r="A140" t="str">
        <x:v>COLLECTION_STATUS</x:v>
      </x:c>
      <x:c r="B140" t="str">
        <x:v>COMPLETE</x:v>
      </x:c>
    </x:row>
    <x:row r="141">
      <x:c r="A141" t="str">
        <x:v>COLLECTION_STATUS</x:v>
      </x:c>
      <x:c r="B141" t="str">
        <x:v>NOT_REQUIRED</x:v>
      </x:c>
    </x:row>
    <x:row r="142">
      <x:c r="A142" t="str">
        <x:v>PREFERRED_SOURCE_TYPE</x:v>
      </x:c>
      <x:c r="B142" t="str">
        <x:v>A1_OFFICIAL_MARKET</x:v>
      </x:c>
    </x:row>
    <x:row r="143">
      <x:c r="A143" t="str">
        <x:v>PREFERRED_SOURCE_TYPE</x:v>
      </x:c>
      <x:c r="B143" t="str">
        <x:v>A2_OFFICIAL_MANUFACTURER</x:v>
      </x:c>
    </x:row>
    <x:row r="144">
      <x:c r="A144" t="str">
        <x:v>PREFERRED_SOURCE_TYPE</x:v>
      </x:c>
      <x:c r="B144" t="str">
        <x:v>A3_AUTHORITATIVE_INDEPENDENT</x:v>
      </x:c>
    </x:row>
    <x:row r="145">
      <x:c r="A145" t="str">
        <x:v>PREFERRED_SOURCE_TYPE</x:v>
      </x:c>
      <x:c r="B145" t="str">
        <x:v>A4_TRUSTED_STRUCTURED</x:v>
      </x:c>
    </x:row>
    <x:row r="146">
      <x:c r="A146" t="str">
        <x:v>PREFERRED_SOURCE_TYPE</x:v>
      </x:c>
      <x:c r="B146" t="str">
        <x:v>A5_TRUSTED_SECONDARY</x:v>
      </x:c>
    </x:row>
    <x:row r="147">
      <x:c r="A147" t="str">
        <x:v>ASSIGNED_METHOD</x:v>
      </x:c>
      <x:c r="B147" t="str">
        <x:v>WEB</x:v>
      </x:c>
    </x:row>
    <x:row r="148">
      <x:c r="A148" t="str">
        <x:v>ASSIGNED_METHOD</x:v>
      </x:c>
      <x:c r="B148" t="str">
        <x:v>SCRIPT</x:v>
      </x:c>
    </x:row>
    <x:row r="149">
      <x:c r="A149" t="str">
        <x:v>ASSIGNED_METHOD</x:v>
      </x:c>
      <x:c r="B149" t="str">
        <x:v>MANUAL</x:v>
      </x:c>
    </x:row>
    <x:row r="150">
      <x:c r="A150" t="str">
        <x:v>ASSIGNED_METHOD</x:v>
      </x:c>
      <x:c r="B150" t="str">
        <x:v>LLM_ASSISTED</x:v>
      </x:c>
    </x:row>
    <x:row r="151">
      <x:c r="A151" t="str">
        <x:v>COLLECTION_RESULT</x:v>
      </x:c>
      <x:c r="B151" t="str">
        <x:v>FOUND</x:v>
      </x:c>
    </x:row>
    <x:row r="152">
      <x:c r="A152" t="str">
        <x:v>COLLECTION_RESULT</x:v>
      </x:c>
      <x:c r="B152" t="str">
        <x:v>NOT_FOUND</x:v>
      </x:c>
    </x:row>
    <x:row r="153">
      <x:c r="A153" t="str">
        <x:v>COLLECTION_RESULT</x:v>
      </x:c>
      <x:c r="B153" t="str">
        <x:v>CONFLICT</x:v>
      </x:c>
    </x:row>
    <x:row r="154">
      <x:c r="A154" t="str">
        <x:v>COLLECTION_RESULT</x:v>
      </x:c>
      <x:c r="B154" t="str">
        <x:v>NOT_APPLICABLE</x:v>
      </x:c>
    </x:row>
    <x:row r="155">
      <x:c r="A155" t="str">
        <x:v>COLLECTION_RESULT</x:v>
      </x:c>
      <x:c r="B155" t="str">
        <x:v>PENDING</x:v>
      </x:c>
    </x:row>
    <x:row r="156">
      <x:c r="A156" t="str">
        <x:v>REQUIREMENT_LEVEL</x:v>
      </x:c>
      <x:c r="B156" t="str">
        <x:v>MUST</x:v>
      </x:c>
    </x:row>
    <x:row r="157">
      <x:c r="A157" t="str">
        <x:v>REQUIREMENT_LEVEL</x:v>
      </x:c>
      <x:c r="B157" t="str">
        <x:v>SHOULD</x:v>
      </x:c>
    </x:row>
    <x:row r="158">
      <x:c r="A158" t="str">
        <x:v>REQUIREMENT_LEVEL</x:v>
      </x:c>
      <x:c r="B158" t="str">
        <x:v>NICE_TO_HAVE</x:v>
      </x:c>
    </x:row>
    <x:row r="159">
      <x:c r="A159" t="str">
        <x:v>FACT_SCOPE</x:v>
      </x:c>
      <x:c r="B159" t="str">
        <x:v>MODEL</x:v>
      </x:c>
    </x:row>
    <x:row r="160">
      <x:c r="A160" t="str">
        <x:v>FACT_SCOPE</x:v>
      </x:c>
      <x:c r="B160" t="str">
        <x:v>GENERATION</x:v>
      </x:c>
    </x:row>
    <x:row r="161">
      <x:c r="A161" t="str">
        <x:v>FACT_SCOPE</x:v>
      </x:c>
      <x:c r="B161" t="str">
        <x:v>POWERTRAIN</x:v>
      </x:c>
    </x:row>
    <x:row r="162">
      <x:c r="A162" t="str">
        <x:v>FACT_SCOPE</x:v>
      </x:c>
      <x:c r="B162" t="str">
        <x:v>CONFIGURATION</x:v>
      </x:c>
    </x:row>
    <x:row r="163">
      <x:c r="A163" t="str">
        <x:v>DATA_TYPE</x:v>
      </x:c>
      <x:c r="B163" t="str">
        <x:v>ID</x:v>
      </x:c>
    </x:row>
    <x:row r="164">
      <x:c r="A164" t="str">
        <x:v>DATA_TYPE</x:v>
      </x:c>
      <x:c r="B164" t="str">
        <x:v>FK</x:v>
      </x:c>
    </x:row>
    <x:row r="165">
      <x:c r="A165" t="str">
        <x:v>DATA_TYPE</x:v>
      </x:c>
      <x:c r="B165" t="str">
        <x:v>TEXT</x:v>
      </x:c>
    </x:row>
    <x:row r="166">
      <x:c r="A166" t="str">
        <x:v>DATA_TYPE</x:v>
      </x:c>
      <x:c r="B166" t="str">
        <x:v>INTEGER</x:v>
      </x:c>
    </x:row>
    <x:row r="167">
      <x:c r="A167" t="str">
        <x:v>DATA_TYPE</x:v>
      </x:c>
      <x:c r="B167" t="str">
        <x:v>NUMBER</x:v>
      </x:c>
    </x:row>
    <x:row r="168">
      <x:c r="A168" t="str">
        <x:v>DATA_TYPE</x:v>
      </x:c>
      <x:c r="B168" t="str">
        <x:v>BOOLEAN</x:v>
      </x:c>
    </x:row>
    <x:row r="169">
      <x:c r="A169" t="str">
        <x:v>DATA_TYPE</x:v>
      </x:c>
      <x:c r="B169" t="str">
        <x:v>ENUM</x:v>
      </x:c>
    </x:row>
    <x:row r="170">
      <x:c r="A170" t="str">
        <x:v>DATA_TYPE</x:v>
      </x:c>
      <x:c r="B170" t="str">
        <x:v>DATE</x:v>
      </x:c>
    </x:row>
    <x:row r="171">
      <x:c r="A171" t="str">
        <x:v>DATA_TYPE</x:v>
      </x:c>
      <x:c r="B171" t="str">
        <x:v>URL</x:v>
      </x:c>
    </x:row>
    <x:row r="172">
      <x:c r="A172" t="str">
        <x:v>RANGE_SEMANTICS</x:v>
      </x:c>
      <x:c r="B172" t="str">
        <x:v>NONE</x:v>
      </x:c>
    </x:row>
    <x:row r="173">
      <x:c r="A173" t="str">
        <x:v>RANGE_SEMANTICS</x:v>
      </x:c>
      <x:c r="B173" t="str">
        <x:v>MIN_MAX</x:v>
      </x:c>
    </x:row>
    <x:row r="174">
      <x:c r="A174" t="str">
        <x:v>RANGE_SEMANTICS</x:v>
      </x:c>
      <x:c r="B174" t="str">
        <x:v>MULTIPLE_OFFICIAL_VALUES</x:v>
      </x:c>
    </x:row>
    <x:row r="175">
      <x:c r="A175" t="str">
        <x:v>SOURCE_VALUE_SEMANTICS</x:v>
      </x:c>
      <x:c r="B175" t="str">
        <x:v>EXACT_SCALAR</x:v>
      </x:c>
    </x:row>
    <x:row r="176">
      <x:c r="A176" t="str">
        <x:v>SOURCE_VALUE_SEMANTICS</x:v>
      </x:c>
      <x:c r="B176" t="str">
        <x:v>EXACT_RANGE</x:v>
      </x:c>
    </x:row>
    <x:row r="177">
      <x:c r="A177" t="str">
        <x:v>SOURCE_VALUE_SEMANTICS</x:v>
      </x:c>
      <x:c r="B177" t="str">
        <x:v>BATTERY_CAPACITY_UNQUALIFIED</x:v>
      </x:c>
    </x:row>
    <x:row r="178">
      <x:c r="A178" t="str">
        <x:v>SOURCE_VALUE_SEMANTICS</x:v>
      </x:c>
      <x:c r="B178" t="str">
        <x:v>CHARGE_TIME_WITH_SOC_CONTEXT</x:v>
      </x:c>
    </x:row>
    <x:row r="179">
      <x:c r="A179" t="str">
        <x:v>SOURCE_VALUE_SEMANTICS</x:v>
      </x:c>
      <x:c r="B179" t="str">
        <x:v>OFFICIAL_VALUES_CONFLICT</x:v>
      </x:c>
    </x:row>
    <x:row r="180">
      <x:c r="A180" t="str">
        <x:v>REQUIREMENT_LEVEL</x:v>
      </x:c>
      <x:c r="B180" t="str">
        <x:v>CONDITIONAL_MUST</x:v>
      </x:c>
    </x:row>
    <x:row r="181">
      <x:c r="A181" t="str">
        <x:v>FACT_SCOPE</x:v>
      </x:c>
      <x:c r="B181" t="str">
        <x:v>ANY</x:v>
      </x:c>
    </x:row>
    <x:row r="182">
      <x:c r="A182" t="str">
        <x:v>FACT_SCOPE</x:v>
      </x:c>
      <x:c r="B182" t="str">
        <x:v>POWERTRAIN_OR_CONFIGURATION</x:v>
      </x:c>
    </x:row>
  </x:sheetData>
  <x:pageMargins left="0.7" right="0.7" top="0.75" bottom="0.75" header="0.3" footer="0.3"/>
  <x:tableParts count="1">
    <x:tablePart xmlns:r="http://schemas.openxmlformats.org/officeDocument/2006/relationships" r:id="R58f5fe3a20d44d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4" max="4" width="62" hidden="0" customWidth="1"/>
    <x:col min="5" max="5" width="42" hidden="0" customWidth="1"/>
    <x:col min="6" max="6" width="14" hidden="0" customWidth="1"/>
    <x:col min="3" max="3" width="46" hidden="0" customWidth="1"/>
  </x:cols>
  <x:sheetData>
    <x:row r="1">
      <x:c r="A1" s="14" t="str">
        <x:v>Expiya Cars Vehicle Evidence Dataset v0.2.1</x:v>
      </x:c>
      <x:c r="B1" s="14"/>
      <x:c r="C1" s="14"/>
      <x:c r="D1" s="14"/>
      <x:c r="E1" s="14"/>
      <x:c r="F1" s="14"/>
    </x:row>
    <x:row r="2">
      <x:c r="A2"/>
      <x:c r="B2"/>
      <x:c r="C2"/>
      <x:c r="D2"/>
      <x:c r="E2"/>
      <x:c r="F2"/>
    </x:row>
    <x:row r="3">
      <x:c r="A3" s="21" t="str">
        <x:v>Purpose</x:v>
      </x:c>
      <x:c r="B3" s="26" t="str">
        <x:v>Canonical, provenance-first vehicle evidence workbook for Expiya Cars MVP.</x:v>
      </x:c>
      <x:c r="C3"/>
      <x:c r="D3" s="21" t="str">
        <x:v>Micro-pilot Acceptance Gates</x:v>
      </x:c>
      <x:c r="E3" s="21"/>
      <x:c r="F3" s="21"/>
    </x:row>
    <x:row r="4">
      <x:c r="A4" s="21" t="str">
        <x:v>Status</x:v>
      </x:c>
      <x:c r="B4" s="26" t="str">
        <x:v>APPROVED MASTER v0.2.1 — VALIDATOR PASS</x:v>
      </x:c>
      <x:c r="C4"/>
      <x:c r="D4" s="26" t="str">
        <x:v>Gate 1</x:v>
      </x:c>
      <x:c r="E4" s="26" t="str">
        <x:v>Identity</x:v>
      </x:c>
      <x:c r="F4" s="26" t="str">
        <x:v>Each configuration can be uniquely resolved.</x:v>
      </x:c>
    </x:row>
    <x:row r="5">
      <x:c r="A5" s="21" t="str">
        <x:v>Baseline</x:v>
      </x:c>
      <x:c r="B5" s="26" t="str">
        <x:v>Vehicle Identity + Typed Evidence + Equipment + Safety + Fact-level Provenance</x:v>
      </x:c>
      <x:c r="C5"/>
      <x:c r="D5" s="26" t="str">
        <x:v>Gate 2</x:v>
      </x:c>
      <x:c r="E5" s="26" t="str">
        <x:v>Applicability</x:v>
      </x:c>
      <x:c r="F5" s="26" t="str">
        <x:v>Facts do not leak across wrong trims/model years.</x:v>
      </x:c>
    </x:row>
    <x:row r="6">
      <x:c r="A6" s="21" t="str">
        <x:v>Core principle</x:v>
      </x:c>
      <x:c r="B6" s="26" t="str">
        <x:v>No vehicle fact should be treated as VERIFIED without an applicable evidence assertion.</x:v>
      </x:c>
      <x:c r="C6"/>
      <x:c r="D6" s="26" t="str">
        <x:v>Gate 3</x:v>
      </x:c>
      <x:c r="E6" s="26" t="str">
        <x:v>Provenance</x:v>
      </x:c>
      <x:c r="F6" s="26" t="str">
        <x:v>Every material VERIFIED fact answers “How do we know?”</x:v>
      </x:c>
    </x:row>
    <x:row r="7">
      <x:c r="A7" s="21" t="str">
        <x:v>Unknown semantics</x:v>
      </x:c>
      <x:c r="B7" s="26" t="str">
        <x:v>UNKNOWN ≠ NOT_AVAILABLE ≠ NOT_APPLICABLE.</x:v>
      </x:c>
      <x:c r="C7"/>
      <x:c r="D7" s="26" t="str">
        <x:v>Gate 4</x:v>
      </x:c>
      <x:c r="E7" s="26" t="str">
        <x:v>Unknown</x:v>
      </x:c>
      <x:c r="F7" s="26" t="str">
        <x:v>Missing facts remain explicitly UNKNOWN.</x:v>
      </x:c>
    </x:row>
    <x:row r="8">
      <x:c r="A8" s="21" t="str">
        <x:v>Conflict semantics</x:v>
      </x:c>
      <x:c r="B8" s="26" t="str">
        <x:v>Conflicting sources are preserved; values are not averaged or guessed.</x:v>
      </x:c>
      <x:c r="C8"/>
      <x:c r="D8" s="26" t="str">
        <x:v>Gate 5</x:v>
      </x:c>
      <x:c r="E8" s="26" t="str">
        <x:v>Conflict</x:v>
      </x:c>
      <x:c r="F8" s="26" t="str">
        <x:v>Conflicting sources are preserved without averaging.</x:v>
      </x:c>
    </x:row>
    <x:row r="9">
      <x:c r="A9" s="21" t="str">
        <x:v>LLM rule</x:v>
      </x:c>
      <x:c r="B9" s="26" t="str">
        <x:v>LLM may assist extraction/reasoning, but may not invent vehicle specifications.</x:v>
      </x:c>
      <x:c r="C9"/>
      <x:c r="D9" s="26" t="str">
        <x:v>Gate 6</x:v>
      </x:c>
      <x:c r="E9" s="26" t="str">
        <x:v>Decision usefulness</x:v>
      </x:c>
      <x:c r="F9" s="26" t="str">
        <x:v>Material requirements map to available facts.</x:v>
      </x:c>
    </x:row>
    <x:row r="10">
      <x:c r="A10" s="21" t="str">
        <x:v>Suitability rule</x:v>
      </x:c>
      <x:c r="B10" s="26" t="str">
        <x:v>No arbitrary suitability scores are stored in this dataset.</x:v>
      </x:c>
      <x:c r="C10"/>
      <x:c r="D10" s="26" t="str">
        <x:v>Gate 7</x:v>
      </x:c>
      <x:c r="E10" s="26" t="str">
        <x:v>Economics</x:v>
      </x:c>
      <x:c r="F10" s="26" t="str">
        <x:v>Collection effort per model is acceptable.</x:v>
      </x:c>
    </x:row>
    <x:row r="11">
      <x:c r="A11" s="21" t="str">
        <x:v>Legacy v0.3</x:v>
      </x:c>
      <x:c r="B11" s="26" t="str">
        <x:v>Use as discovery/index seed only. Migration must not auto-promote facts to VERIFIED.</x:v>
      </x:c>
      <x:c r="C11"/>
      <x:c r="D11"/>
      <x:c r="E11"/>
      <x:c r="F11"/>
    </x:row>
    <x:row r="12">
      <x:c r="A12" s="21" t="str">
        <x:v>Pilot rule</x:v>
      </x:c>
      <x:c r="B12" s="26" t="str">
        <x:v>Validate schema with 8 model families before scaling to 50–100 models.</x:v>
      </x:c>
      <x:c r="C12"/>
      <x:c r="D12"/>
      <x:c r="E12"/>
      <x:c r="F12"/>
    </x:row>
    <x:row r="13">
      <x:c r="A13" s="21" t="str">
        <x:v>ID pattern</x:v>
      </x:c>
      <x:c r="B13" s="26" t="str">
        <x:v>Readable IDs are allocated by repository tooling; existing IDs are immutable.</x:v>
      </x:c>
      <x:c r="C13"/>
      <x:c r="D13"/>
      <x:c r="E13"/>
      <x:c r="F13"/>
    </x:row>
    <x:row r="14">
      <x:c r="A14"/>
      <x:c r="B14"/>
      <x:c r="C14"/>
      <x:c r="D14"/>
      <x:c r="E14"/>
      <x:c r="F14"/>
    </x:row>
    <x:row r="15">
      <x:c r="A15"/>
      <x:c r="B15"/>
      <x:c r="C15"/>
      <x:c r="D15"/>
      <x:c r="E15"/>
      <x:c r="F15"/>
    </x:row>
    <x:row r="16">
      <x:c r="A16" s="41" t="str">
        <x:v>MICRO-PILOT 01 — STARTED 2026-08-14</x:v>
      </x:c>
      <x:c r="B16" s="41"/>
      <x:c r="C16" s="41"/>
      <x:c r="D16" s="41"/>
      <x:c r="E16" s="41"/>
      <x:c r="F16" s="41"/>
    </x:row>
    <x:row r="17">
      <x:c r="A17" s="44" t="str">
        <x:v>Pilot</x:v>
      </x:c>
      <x:c r="B17" s="44" t="str">
        <x:v>Model</x:v>
      </x:c>
      <x:c r="C17" s="44" t="str">
        <x:v>Primary stress case</x:v>
      </x:c>
      <x:c r="D17" s="44" t="str">
        <x:v>Initial status</x:v>
      </x:c>
      <x:c r="E17" s="44" t="str">
        <x:v>Representative configuration</x:v>
      </x:c>
      <x:c r="F17" s="44" t="str">
        <x:v>Source-first</x:v>
      </x:c>
    </x:row>
    <x:row r="18">
      <x:c r="A18" s="26" t="str">
        <x:v>01</x:v>
      </x:c>
      <x:c r="B18" s="26" t="str">
        <x:v>Renault Clio</x:v>
      </x:c>
      <x:c r="C18" s="26" t="str">
        <x:v>Petrol / urban</x:v>
      </x:c>
      <x:c r="D18" s="26" t="str">
        <x:v>STARTED</x:v>
      </x:c>
      <x:c r="E18" s="26" t="str">
        <x:v>TCe 115 / trim TBD</x:v>
      </x:c>
      <x:c r="F18" s="26" t="str">
        <x:v>Yes</x:v>
      </x:c>
    </x:row>
    <x:row r="19">
      <x:c r="A19" s="26" t="str">
        <x:v>02</x:v>
      </x:c>
      <x:c r="B19" s="26" t="str">
        <x:v>Fiat Egea Sedan</x:v>
      </x:c>
      <x:c r="C19" s="26" t="str">
        <x:v>Diesel</x:v>
      </x:c>
      <x:c r="D19" s="26" t="str">
        <x:v>STARTED</x:v>
      </x:c>
      <x:c r="E19" s="26" t="str">
        <x:v>Easy 1.6 M.Jet 130 HP</x:v>
      </x:c>
      <x:c r="F19" s="26" t="str">
        <x:v>Yes</x:v>
      </x:c>
    </x:row>
    <x:row r="20">
      <x:c r="A20" s="26" t="str">
        <x:v>03</x:v>
      </x:c>
      <x:c r="B20" s="26" t="str">
        <x:v>Toyota Corolla Sedan</x:v>
      </x:c>
      <x:c r="C20" s="26" t="str">
        <x:v>HEV family</x:v>
      </x:c>
      <x:c r="D20" s="26" t="str">
        <x:v>STARTED</x:v>
      </x:c>
      <x:c r="E20" s="26" t="str">
        <x:v>1.8 Hybrid Dream e-CVT</x:v>
      </x:c>
      <x:c r="F20" s="26" t="str">
        <x:v>Yes</x:v>
      </x:c>
    </x:row>
    <x:row r="21">
      <x:c r="A21" s="26" t="str">
        <x:v>04</x:v>
      </x:c>
      <x:c r="B21" s="26" t="str">
        <x:v>Suzuki Vitara</x:v>
      </x:c>
      <x:c r="C21" s="26" t="str">
        <x:v>MHEV + 4WD</x:v>
      </x:c>
      <x:c r="D21" s="26" t="str">
        <x:v>STARTED</x:v>
      </x:c>
      <x:c r="E21" s="26" t="str">
        <x:v>1.4 MHEV 6AT AllGrip GL Elegance</x:v>
      </x:c>
      <x:c r="F21" s="26" t="str">
        <x:v>Yes</x:v>
      </x:c>
    </x:row>
    <x:row r="22">
      <x:c r="A22" s="26" t="str">
        <x:v>05</x:v>
      </x:c>
      <x:c r="B22" s="26" t="str">
        <x:v>BYD SEAL U DM-i</x:v>
      </x:c>
      <x:c r="C22" s="26" t="str">
        <x:v>PHEV</x:v>
      </x:c>
      <x:c r="D22" s="26" t="str">
        <x:v>STARTED</x:v>
      </x:c>
      <x:c r="E22" s="26" t="str">
        <x:v>1.5L Design</x:v>
      </x:c>
      <x:c r="F22" s="26" t="str">
        <x:v>Yes</x:v>
      </x:c>
    </x:row>
    <x:row r="23">
      <x:c r="A23" s="26" t="str">
        <x:v>06</x:v>
      </x:c>
      <x:c r="B23" s="26" t="str">
        <x:v>Kia EV3</x:v>
      </x:c>
      <x:c r="C23" s="26" t="str">
        <x:v>BEV compact</x:v>
      </x:c>
      <x:c r="D23" s="26" t="str">
        <x:v>STARTED</x:v>
      </x:c>
      <x:c r="E23" s="26" t="str">
        <x:v>Electric Prestige</x:v>
      </x:c>
      <x:c r="F23" s="26" t="str">
        <x:v>Yes</x:v>
      </x:c>
    </x:row>
    <x:row r="24">
      <x:c r="A24" s="26" t="str">
        <x:v>07</x:v>
      </x:c>
      <x:c r="B24" s="26" t="str">
        <x:v>Togg T10X</x:v>
      </x:c>
      <x:c r="C24" s="26" t="str">
        <x:v>BEV / local ecosystem</x:v>
      </x:c>
      <x:c r="D24" s="26" t="str">
        <x:v>STARTED</x:v>
      </x:c>
      <x:c r="E24" s="26" t="str">
        <x:v>RWD Long Range</x:v>
      </x:c>
      <x:c r="F24" s="26" t="str">
        <x:v>Yes</x:v>
      </x:c>
    </x:row>
    <x:row r="25">
      <x:c r="A25" s="26" t="str">
        <x:v>08</x:v>
      </x:c>
      <x:c r="B25" s="26" t="str">
        <x:v>Dacia Sandero Stepway</x:v>
      </x:c>
      <x:c r="C25" s="26" t="str">
        <x:v>LPG dual-fuel</x:v>
      </x:c>
      <x:c r="D25" s="26" t="str">
        <x:v>STARTED</x:v>
      </x:c>
      <x:c r="E25" s="26" t="str">
        <x:v>Expression Eco-G 120 auto</x:v>
      </x:c>
      <x:c r="F25" s="26" t="str">
        <x:v>Yes</x:v>
      </x:c>
    </x:row>
    <x:row r="26">
      <x:c r="A26"/>
      <x:c r="B26"/>
      <x:c r="C26"/>
      <x:c r="D26"/>
      <x:c r="E26"/>
      <x:c r="F26"/>
    </x:row>
    <x:row r="27">
      <x:c r="A27" s="47" t="str">
        <x:v>MICRO-PILOT P0 — FIRST COLLECTION PASS FINDINGS</x:v>
      </x:c>
      <x:c r="B27" s="47"/>
      <x:c r="C27" s="47"/>
      <x:c r="D27" s="47"/>
      <x:c r="E27" s="47"/>
      <x:c r="F27" s="47"/>
    </x:row>
    <x:row r="28">
      <x:c r="A28" s="49" t="str">
        <x:v>Finding</x:v>
      </x:c>
      <x:c r="B28" s="49" t="str">
        <x:v>Status</x:v>
      </x:c>
      <x:c r="C28" s="49" t="str">
        <x:v>Example</x:v>
      </x:c>
      <x:c r="D28" s="49" t="str">
        <x:v>Data-contract implication</x:v>
      </x:c>
      <x:c r="E28"/>
      <x:c r="F28"/>
    </x:row>
    <x:row r="29">
      <x:c r="A29" s="26" t="str">
        <x:v>Charge interval</x:v>
      </x:c>
      <x:c r="B29" s="26" t="str">
        <x:v>SCHEMA GAP</x:v>
      </x:c>
      <x:c r="C29" s="26" t="str">
        <x:v>Togg 20–80; BYD 30–80; Kia 10–80</x:v>
      </x:c>
      <x:c r="D29" s="26" t="str">
        <x:v>Use generic dc_charge_time_min + SOC context; fixed 10–80 field is insufficient.</x:v>
      </x:c>
      <x:c r="E29"/>
      <x:c r="F29"/>
    </x:row>
    <x:row r="30">
      <x:c r="A30" s="26" t="str">
        <x:v>Battery semantics</x:v>
      </x:c>
      <x:c r="B30" s="26" t="str">
        <x:v>SCHEMA GAP</x:v>
      </x:c>
      <x:c r="C30" s="26" t="str">
        <x:v>BYD 18.3; Kia 58.3 without gross/usable label</x:v>
      </x:c>
      <x:c r="D30" s="26" t="str">
        <x:v>Need battery_capacity_reported_kwh for source-exact but semantically unspecified values.</x:v>
      </x:c>
      <x:c r="E30"/>
      <x:c r="F30"/>
    </x:row>
    <x:row r="31">
      <x:c r="A31" s="26" t="str">
        <x:v>Numeric ranges</x:v>
      </x:c>
      <x:c r="B31" s="26" t="str">
        <x:v>SCHEMA GAP</x:v>
      </x:c>
      <x:c r="C31" s="26" t="str">
        <x:v>Corolla Hybrid 4.5–4.7 L/100km</x:v>
      </x:c>
      <x:c r="D31" s="26" t="str">
        <x:v>Future schema should support native min/max numeric range.</x:v>
      </x:c>
      <x:c r="E31"/>
      <x:c r="F31"/>
    </x:row>
    <x:row r="32">
      <x:c r="A32" s="26" t="str">
        <x:v>Official discrepancy</x:v>
      </x:c>
      <x:c r="B32" s="26" t="str">
        <x:v>WORKFLOW TEST PASS</x:v>
      </x:c>
      <x:c r="C32" s="26" t="str">
        <x:v>Togg 523 km vs V2/18in 610 km</x:v>
      </x:c>
      <x:c r="D32" s="26" t="str">
        <x:v>Applicability/identity must resolve before VERIFIED.</x:v>
      </x:c>
      <x:c r="E32"/>
      <x:c r="F32"/>
    </x:row>
    <x:row r="33">
      <x:c r="A33" s="26" t="str">
        <x:v>Unknown ≠ absent</x:v>
      </x:c>
      <x:c r="B33" s="26" t="str">
        <x:v>WORKFLOW TEST PASS</x:v>
      </x:c>
      <x:c r="C33" s="26" t="str">
        <x:v>Egea Easy CarPlay not listed</x:v>
      </x:c>
      <x:c r="D33" s="26" t="str">
        <x:v>Do not convert unlisted equipment into NOT_AVAILABLE.</x:v>
      </x:c>
      <x:c r="E33"/>
      <x:c r="F33"/>
    </x:row>
    <x:row r="34">
      <x:c r="A34" s="26" t="str">
        <x:v>Trim inheritance</x:v>
      </x:c>
      <x:c r="B34" s="26" t="str">
        <x:v>WORKFLOW TEST PASS</x:v>
      </x:c>
      <x:c r="C34" s="26" t="str">
        <x:v>Kia Prestige inherits lower-trim equipment</x:v>
      </x:c>
      <x:c r="D34" s="26" t="str">
        <x:v>Configuration equipment needs explicit inheritance handling.</x:v>
      </x:c>
      <x:c r="E34"/>
      <x:c r="F34"/>
    </x:row>
    <x:row r="35">
      <x:c r="A35"/>
      <x:c r="B35"/>
      <x:c r="C35"/>
      <x:c r="D35"/>
      <x:c r="E35"/>
      <x:c r="F35"/>
    </x:row>
    <x:row r="36">
      <x:c r="A36" s="76" t="str">
        <x:v>MICRO-PILOT v0.1 — FINAL VERDICT</x:v>
      </x:c>
      <x:c r="B36" s="76"/>
      <x:c r="C36" s="76"/>
      <x:c r="D36" s="76"/>
      <x:c r="E36" s="76"/>
      <x:c r="F36" s="76"/>
    </x:row>
    <x:row r="37">
      <x:c r="A37" s="77" t="str">
        <x:v>Verdict</x:v>
      </x:c>
      <x:c r="B37" s="26" t="str">
        <x:v>PASS WITH REDUCTION</x:v>
      </x:c>
      <x:c r="C37" s="26"/>
      <x:c r="D37" s="26"/>
      <x:c r="E37" s="26"/>
      <x:c r="F37" s="26"/>
    </x:row>
    <x:row r="38">
      <x:c r="A38" s="77" t="str">
        <x:v>Why not full PASS</x:v>
      </x:c>
      <x:c r="B38" s="26" t="str">
        <x:v>Official-market sources do not publish every desired core fact consistently; universal completeness would force secondary sources or invented certainty.</x:v>
      </x:c>
      <x:c r="C38" s="26"/>
      <x:c r="D38" s="26"/>
      <x:c r="E38" s="26"/>
      <x:c r="F38" s="26"/>
    </x:row>
    <x:row r="39">
      <x:c r="A39" s="77" t="str">
        <x:v>What passed</x:v>
      </x:c>
      <x:c r="B39" s="26" t="str">
        <x:v>Canonical identity, configuration specificity, fact-level provenance, explicit UNKNOWN, conflict preservation, equipment semantics, source/applicability separation.</x:v>
      </x:c>
      <x:c r="C39" s="26"/>
      <x:c r="D39" s="26"/>
      <x:c r="E39" s="26"/>
      <x:c r="F39" s="26"/>
    </x:row>
    <x:row r="40">
      <x:c r="A40" s="77" t="str">
        <x:v>Final schema change</x:v>
      </x:c>
      <x:c r="B40" s="26" t="str">
        <x:v>ground_clearance_mm = CONDITIONAL_MUST only when rough-road/camping/stabilized-road/off-road/clearance is materially relevant.</x:v>
      </x:c>
      <x:c r="C40" s="26"/>
      <x:c r="D40" s="26"/>
      <x:c r="E40" s="26"/>
      <x:c r="F40" s="26"/>
    </x:row>
    <x:row r="41">
      <x:c r="A41" s="77" t="str">
        <x:v>Togg closure</x:v>
      </x:c>
      <x:c r="B41" s="26" t="str">
        <x:v>OPEN — T10X values remain REPORTED with UNVERIFIED/PARTIAL assertions until exact generation/configuration applicability is source-backed.</x:v>
      </x:c>
      <x:c r="C41" s="26"/>
      <x:c r="D41" s="26"/>
      <x:c r="E41" s="26"/>
      <x:c r="F41" s="26"/>
    </x:row>
    <x:row r="42">
      <x:c r="A42" s="77" t="str">
        <x:v>Egea closure</x:v>
      </x:c>
      <x:c r="B42" s="26" t="str">
        <x:v>Pilot configuration changed to exact verified Easy 1.6 M.Jet 130 HP 6MT; unsupported Easy+automatic linkage removed.</x:v>
      </x:c>
      <x:c r="C42" s="26"/>
      <x:c r="D42" s="26"/>
      <x:c r="E42" s="26"/>
      <x:c r="F42" s="26"/>
    </x:row>
    <x:row r="43">
      <x:c r="A43" s="77" t="str">
        <x:v>Scale decision</x:v>
      </x:c>
      <x:c r="B43" s="26" t="str">
        <x:v>SCALE READY WITH NON-BLOCKING WARNINGS — source snapshot/hash capture remains open.</x:v>
      </x:c>
      <x:c r="C43" s="26"/>
      <x:c r="D43" s="26"/>
      <x:c r="E43" s="26"/>
      <x:c r="F43" s="26"/>
    </x:row>
    <x:row r="44">
      <x:c r="A44" s="77" t="str">
        <x:v>Guardrail</x:v>
      </x:c>
      <x:c r="B44" s="26" t="str">
        <x:v>No UNKNOWN/NOT_FOUND fact may be silently substituted from LLM memory. Secondary sources require explicit lower authority and provenance.</x:v>
      </x:c>
      <x:c r="C44" s="26"/>
      <x:c r="D44" s="26"/>
      <x:c r="E44" s="26"/>
      <x:c r="F44" s="26"/>
    </x:row>
    <x:row r="45">
      <x:c r="A45" t="str">
        <x:v>MASTER DATASET METADATA</x:v>
      </x:c>
      <x:c r="B45" t="str">
        <x:v>0.2.1</x:v>
      </x:c>
      <x:c r="C45"/>
      <x:c r="D45"/>
      <x:c r="E45"/>
      <x:c r="F45"/>
    </x:row>
    <x:row r="46">
      <x:c r="A46" t="str">
        <x:v>dataset_version</x:v>
      </x:c>
      <x:c r="B46" t="str">
        <x:v>POST_BATCH01_HARDENING</x:v>
      </x:c>
      <x:c r="C46"/>
      <x:c r="D46" t="str">
        <x:v>schema_version</x:v>
      </x:c>
      <x:c r="E46" t="str">
        <x:v>0.1</x:v>
      </x:c>
      <x:c r="F46"/>
    </x:row>
    <x:row r="47">
      <x:c r="A47" t="str">
        <x:v>batch_id</x:v>
      </x:c>
      <x:c r="B47" t="str">
        <x:v>MICROPILOT01</x:v>
      </x:c>
      <x:c r="C47"/>
      <x:c r="D47" t="str">
        <x:v>release_date</x:v>
      </x:c>
      <x:c r="E47" t="str">
        <x:v>2026-08-14</x:v>
      </x:c>
      <x:c r="F47"/>
    </x:row>
    <x:row r="48">
      <x:c r="A48" t="str">
        <x:v>created_at</x:v>
      </x:c>
      <x:c r="B48" t="str">
        <x:v>2026-08-14</x:v>
      </x:c>
      <x:c r="C48"/>
      <x:c r="D48" t="str">
        <x:v>updated_at</x:v>
      </x:c>
      <x:c r="E48" t="str">
        <x:v>2026-08-14</x:v>
      </x:c>
      <x:c r="F48"/>
    </x:row>
    <x:row r="49">
      <x:c r="A49" t="str">
        <x:v>Experience layer</x:v>
      </x:c>
      <x:c r="B49" t="str">
        <x:v>Not active; schema will be introduced in a separate work unit before ingestion.</x:v>
      </x:c>
      <x:c r="C49"/>
      <x:c r="D49"/>
      <x:c r="E49"/>
      <x:c r="F49"/>
    </x:row>
    <x:row r="50">
      <x:c r="A50" t="str">
        <x:v>Safety boundary</x:v>
      </x:c>
      <x:c r="B50" t="str">
        <x:v>Empty 07_SAFETY is valid; future safety authority policy is distinct from manufacturer technical authority.</x:v>
      </x:c>
      <x:c r="C50"/>
      <x:c r="D50"/>
      <x:c r="E50"/>
      <x:c r="F50"/>
    </x:row>
  </x:sheetData>
  <x:mergeCells>
    <x:mergeCell ref="A1:F1"/>
    <x:mergeCell ref="D3:F3"/>
    <x:mergeCell ref="A16:F16"/>
    <x:mergeCell ref="A27:F27"/>
    <x:mergeCell ref="A36:F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16" hidden="0" customWidth="1"/>
    <x:col min="5" max="5" width="20" hidden="0" customWidth="1"/>
    <x:col min="6" max="6" width="28" hidden="0" customWidth="1"/>
    <x:col min="7" max="7" width="22" hidden="0" customWidth="1"/>
    <x:col min="8" max="8" width="36" hidden="0" customWidth="1"/>
  </x:cols>
  <x:sheetData>
    <x:row r="1">
      <x:c r="A1" s="6" t="str">
        <x:v>model_id</x:v>
      </x:c>
      <x:c r="B1" s="6" t="str">
        <x:v>brand</x:v>
      </x:c>
      <x:c r="C1" s="6" t="str">
        <x:v>model_name</x:v>
      </x:c>
      <x:c r="D1" s="6" t="str">
        <x:v>body_family</x:v>
      </x:c>
      <x:c r="E1" s="6" t="str">
        <x:v>market_relevance_tr</x:v>
      </x:c>
      <x:c r="F1" s="6" t="str">
        <x:v>source_catalog_status</x:v>
      </x:c>
      <x:c r="G1" s="6" t="str">
        <x:v>legacy_source_id</x:v>
      </x:c>
      <x:c r="H1" s="6" t="str">
        <x:v>notes</x:v>
      </x:c>
    </x:row>
    <x:row r="2">
      <x:c r="A2" s="26" t="str">
        <x:v>MOD-000001</x:v>
      </x:c>
      <x:c r="B2" s="26" t="str">
        <x:v>Renault</x:v>
      </x:c>
      <x:c r="C2" s="26" t="str">
        <x:v>Clio</x:v>
      </x:c>
      <x:c r="D2" s="26" t="str">
        <x:v>HATCHBACK</x:v>
      </x:c>
      <x:c r="E2" s="26" t="str">
        <x:v>CURRENT</x:v>
      </x:c>
      <x:c r="F2" s="26" t="str">
        <x:v>RESMI_KAYNAKTAN_DERLENDI</x:v>
      </x:c>
      <x:c r="G2" s="26" t="str">
        <x:v>PILOT-01</x:v>
      </x:c>
      <x:c r="H2" s="26" t="str">
        <x:v>2026 micro-pilot: conventional petrol / compact urban</x:v>
      </x:c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MOD-000002</x:v>
      </x:c>
      <x:c r="B3" s="26" t="str">
        <x:v>Fiat</x:v>
      </x:c>
      <x:c r="C3" s="26" t="str">
        <x:v>Egea Sedan</x:v>
      </x:c>
      <x:c r="D3" s="26" t="str">
        <x:v>SEDAN</x:v>
      </x:c>
      <x:c r="E3" s="26" t="str">
        <x:v>CURRENT</x:v>
      </x:c>
      <x:c r="F3" s="26" t="str">
        <x:v>RESMI_KAYNAKTAN_DERLENDI</x:v>
      </x:c>
      <x:c r="G3" s="26" t="str">
        <x:v>PILOT-02</x:v>
      </x:c>
      <x:c r="H3" s="26" t="str">
        <x:v>2026 micro-pilot: diesel / mainstream sedan</x:v>
      </x:c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MOD-000003</x:v>
      </x:c>
      <x:c r="B4" s="26" t="str">
        <x:v>Toyota</x:v>
      </x:c>
      <x:c r="C4" s="26" t="str">
        <x:v>Corolla Sedan</x:v>
      </x:c>
      <x:c r="D4" s="26" t="str">
        <x:v>SEDAN</x:v>
      </x:c>
      <x:c r="E4" s="26" t="str">
        <x:v>CURRENT</x:v>
      </x:c>
      <x:c r="F4" s="26" t="str">
        <x:v>RESMI_KAYNAKTAN_DERLENDI</x:v>
      </x:c>
      <x:c r="G4" s="26" t="str">
        <x:v>PILOT-03</x:v>
      </x:c>
      <x:c r="H4" s="26" t="str">
        <x:v>2026 micro-pilot: HEV / compact family sedan</x:v>
      </x:c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MOD-000004</x:v>
      </x:c>
      <x:c r="B5" s="26" t="str">
        <x:v>Suzuki</x:v>
      </x:c>
      <x:c r="C5" s="26" t="str">
        <x:v>Vitara</x:v>
      </x:c>
      <x:c r="D5" s="26" t="str">
        <x:v>SUV</x:v>
      </x:c>
      <x:c r="E5" s="26" t="str">
        <x:v>CURRENT</x:v>
      </x:c>
      <x:c r="F5" s="26" t="str">
        <x:v>RESMI_KAYNAKTAN_DERLENDI</x:v>
      </x:c>
      <x:c r="G5" s="26" t="str">
        <x:v>PILOT-04</x:v>
      </x:c>
      <x:c r="H5" s="26" t="str">
        <x:v>2026 micro-pilot: MHEV + AllGrip / compact AWD SUV</x:v>
      </x:c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MOD-000005</x:v>
      </x:c>
      <x:c r="B6" s="26" t="str">
        <x:v>BYD</x:v>
      </x:c>
      <x:c r="C6" s="26" t="str">
        <x:v>SEAL U DM-i</x:v>
      </x:c>
      <x:c r="D6" s="26" t="str">
        <x:v>SUV</x:v>
      </x:c>
      <x:c r="E6" s="26" t="str">
        <x:v>CURRENT</x:v>
      </x:c>
      <x:c r="F6" s="26" t="str">
        <x:v>RESMI_KAYNAKTAN_DERLENDI</x:v>
      </x:c>
      <x:c r="G6" s="26" t="str">
        <x:v>PILOT-05</x:v>
      </x:c>
      <x:c r="H6" s="26" t="str">
        <x:v>2026 micro-pilot: PHEV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MOD-000006</x:v>
      </x:c>
      <x:c r="B7" s="26" t="str">
        <x:v>Kia</x:v>
      </x:c>
      <x:c r="C7" s="26" t="str">
        <x:v>EV3</x:v>
      </x:c>
      <x:c r="D7" s="26" t="str">
        <x:v>SUV</x:v>
      </x:c>
      <x:c r="E7" s="26" t="str">
        <x:v>CURRENT</x:v>
      </x:c>
      <x:c r="F7" s="26" t="str">
        <x:v>RESMI_KAYNAKTAN_DERLENDI</x:v>
      </x:c>
      <x:c r="G7" s="26" t="str">
        <x:v>PILOT-06</x:v>
      </x:c>
      <x:c r="H7" s="26" t="str">
        <x:v>2026 micro-pilot: BEV / compact SUV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MOD-000007</x:v>
      </x:c>
      <x:c r="B8" s="26" t="str">
        <x:v>Togg</x:v>
      </x:c>
      <x:c r="C8" s="26" t="str">
        <x:v>T10X</x:v>
      </x:c>
      <x:c r="D8" s="26" t="str">
        <x:v>SUV</x:v>
      </x:c>
      <x:c r="E8" s="26" t="str">
        <x:v>CURRENT</x:v>
      </x:c>
      <x:c r="F8" s="26" t="str">
        <x:v>RESMI_KAYNAKTAN_DERLENDI</x:v>
      </x:c>
      <x:c r="G8" s="26" t="str">
        <x:v>PILOT-07</x:v>
      </x:c>
      <x:c r="H8" s="26" t="str">
        <x:v>2026 micro-pilot: BEV / Turkey-local source ecosystem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MOD-000008</x:v>
      </x:c>
      <x:c r="B9" s="26" t="str">
        <x:v>Dacia</x:v>
      </x:c>
      <x:c r="C9" s="26" t="str">
        <x:v>Sandero Stepway</x:v>
      </x:c>
      <x:c r="D9" s="26" t="str">
        <x:v>HATCHBACK</x:v>
      </x:c>
      <x:c r="E9" s="26" t="str">
        <x:v>CURRENT</x:v>
      </x:c>
      <x:c r="F9" s="26" t="str">
        <x:v>RESMI_KAYNAKTAN_DERLENDI</x:v>
      </x:c>
      <x:c r="G9" s="26" t="str">
        <x:v>PILOT-08</x:v>
      </x:c>
      <x:c r="H9" s="26" t="str">
        <x:v>2026 micro-pilot: LPG+petrol dual-fuel / compact crossover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MOD-000009</x:v>
      </x:c>
      <x:c r="B10" s="26" t="str">
        <x:v>Hyundai</x:v>
      </x:c>
      <x:c r="C10" s="26" t="str">
        <x:v>i20</x:v>
      </x:c>
      <x:c r="D10" s="26" t="str">
        <x:v>HATCHBACK</x:v>
      </x:c>
      <x:c r="E10" s="26" t="str">
        <x:v>CURRENT</x:v>
      </x:c>
      <x:c r="F10" s="26" t="str">
        <x:v>RESMI_KAYNAKTAN_DERLENDI</x:v>
      </x:c>
      <x:c r="G10" s="26" t="str">
        <x:v>SCALE_BATCH_01</x:v>
      </x:c>
      <x:c r="H10" s="26" t="str">
        <x:v>SCALE_BATCH_01 MAINSTREAM: Urban footprint and current locally produced mainstream hatch; petrol/DCT coverage.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MOD-000010</x:v>
      </x:c>
      <x:c r="B11" s="26" t="str">
        <x:v>Honda</x:v>
      </x:c>
      <x:c r="C11" s="26" t="str">
        <x:v>Civic</x:v>
      </x:c>
      <x:c r="D11" s="26" t="str">
        <x:v>SEDAN</x:v>
      </x:c>
      <x:c r="E11" s="26" t="str">
        <x:v>CURRENT</x:v>
      </x:c>
      <x:c r="F11" s="26" t="str">
        <x:v>RESMI_KAYNAKTAN_DERLENDI</x:v>
      </x:c>
      <x:c r="G11" s="26" t="str">
        <x:v>SCALE_BATCH_01</x:v>
      </x:c>
      <x:c r="H11" s="26" t="str">
        <x:v>SCALE_BATCH_01 MAINSTREAM: Turkey-relevant LPG sedan and family-use benchmark.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MOD-000011</x:v>
      </x:c>
      <x:c r="B12" s="26" t="str">
        <x:v>Nissan</x:v>
      </x:c>
      <x:c r="C12" s="26" t="str">
        <x:v>Qashqai</x:v>
      </x:c>
      <x:c r="D12" s="26" t="str">
        <x:v>SUV</x:v>
      </x:c>
      <x:c r="E12" s="26" t="str">
        <x:v>CURRENT</x:v>
      </x:c>
      <x:c r="F12" s="26" t="str">
        <x:v>RESMI_KAYNAKTAN_DERLENDI</x:v>
      </x:c>
      <x:c r="G12" s="26" t="str">
        <x:v>SCALE_BATCH_01</x:v>
      </x:c>
      <x:c r="H12" s="26" t="str">
        <x:v>SCALE_BATCH_01 MAINSTREAM: High-relevance C-SUV with distinct MHEV and e-POWER architectures.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MOD-000012</x:v>
      </x:c>
      <x:c r="B13" s="26" t="str">
        <x:v>Škoda</x:v>
      </x:c>
      <x:c r="C13" s="26" t="str">
        <x:v>Octavia Combi</x:v>
      </x:c>
      <x:c r="D13" s="26" t="str">
        <x:v>WAGON</x:v>
      </x:c>
      <x:c r="E13" s="26" t="str">
        <x:v>CURRENT</x:v>
      </x:c>
      <x:c r="F13" s="26" t="str">
        <x:v>RESMI_KAYNAKTAN_DERLENDI</x:v>
      </x:c>
      <x:c r="G13" s="26" t="str">
        <x:v>SCALE_BATCH_01</x:v>
      </x:c>
      <x:c r="H13" s="26" t="str">
        <x:v>SCALE_BATCH_01 MAINSTREAM: Practical-family wagon coverage, underrepresented in the pilot.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MOD-000013</x:v>
      </x:c>
      <x:c r="B14" s="26" t="str">
        <x:v>Dacia</x:v>
      </x:c>
      <x:c r="C14" s="26" t="str">
        <x:v>Jogger</x:v>
      </x:c>
      <x:c r="D14" s="26" t="str">
        <x:v>MPV</x:v>
      </x:c>
      <x:c r="E14" s="26" t="str">
        <x:v>CURRENT</x:v>
      </x:c>
      <x:c r="F14" s="26" t="str">
        <x:v>RESMI_KAYNAKTAN_DERLENDI</x:v>
      </x:c>
      <x:c r="G14" s="26" t="str">
        <x:v>SCALE_BATCH_01</x:v>
      </x:c>
      <x:c r="H14" s="26" t="str">
        <x:v>SCALE_BATCH_01 MAINSTREAM: Seven-seat/practical family role and value-led discovery use case.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MOD-000014</x:v>
      </x:c>
      <x:c r="B15" s="26" t="str">
        <x:v>Renault</x:v>
      </x:c>
      <x:c r="C15" s="26" t="str">
        <x:v>Austral</x:v>
      </x:c>
      <x:c r="D15" s="26" t="str">
        <x:v>SUV</x:v>
      </x:c>
      <x:c r="E15" s="26" t="str">
        <x:v>CURRENT</x:v>
      </x:c>
      <x:c r="F15" s="26" t="str">
        <x:v>RESMI_KAYNAKTAN_DERLENDI</x:v>
      </x:c>
      <x:c r="G15" s="26" t="str">
        <x:v>SCALE_BATCH_01</x:v>
      </x:c>
      <x:c r="H15" s="26" t="str">
        <x:v>SCALE_BATCH_01 MAINSTREAM: Full-hybrid family SUV and long-range mainstream role.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MOD-000015</x:v>
      </x:c>
      <x:c r="B16" s="26" t="str">
        <x:v>Toyota</x:v>
      </x:c>
      <x:c r="C16" s="26" t="str">
        <x:v>C-HR</x:v>
      </x:c>
      <x:c r="D16" s="26" t="str">
        <x:v>SUV</x:v>
      </x:c>
      <x:c r="E16" s="26" t="str">
        <x:v>CURRENT</x:v>
      </x:c>
      <x:c r="F16" s="26" t="str">
        <x:v>RESMI_KAYNAKTAN_DERLENDI</x:v>
      </x:c>
      <x:c r="G16" s="26" t="str">
        <x:v>SCALE_BATCH_01</x:v>
      </x:c>
      <x:c r="H16" s="26" t="str">
        <x:v>SCALE_BATCH_01 MAINSTREAM: Locally produced HEV crossover with exact 2026 trim matrix.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MOD-000016</x:v>
      </x:c>
      <x:c r="B17" s="26" t="str">
        <x:v>Honda</x:v>
      </x:c>
      <x:c r="C17" s="26" t="str">
        <x:v>Jazz e:HEV</x:v>
      </x:c>
      <x:c r="D17" s="26" t="str">
        <x:v>HATCHBACK</x:v>
      </x:c>
      <x:c r="E17" s="26" t="str">
        <x:v>CURRENT</x:v>
      </x:c>
      <x:c r="F17" s="26" t="str">
        <x:v>RESMI_KAYNAKTAN_DERLENDI</x:v>
      </x:c>
      <x:c r="G17" s="26" t="str">
        <x:v>SCALE_BATCH_01</x:v>
      </x:c>
      <x:c r="H17" s="26" t="str">
        <x:v>SCALE_BATCH_01 MAINSTREAM: Space-efficient HEV hatch with exact current Turkey trim.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MOD-000017</x:v>
      </x:c>
      <x:c r="B18" s="26" t="str">
        <x:v>Subaru</x:v>
      </x:c>
      <x:c r="C18" s="26" t="str">
        <x:v>Crosstrek</x:v>
      </x:c>
      <x:c r="D18" s="26" t="str">
        <x:v>SUV</x:v>
      </x:c>
      <x:c r="E18" s="26" t="str">
        <x:v>CURRENT</x:v>
      </x:c>
      <x:c r="F18" s="26" t="str">
        <x:v>RESMI_KAYNAKTAN_DERLENDI</x:v>
      </x:c>
      <x:c r="G18" s="26" t="str">
        <x:v>SCALE_BATCH_01</x:v>
      </x:c>
      <x:c r="H18" s="26" t="str">
        <x:v>SCALE_BATCH_01 DISCOVERY: AWD, 220 mm clearance and rough-road/camping relevance.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MOD-000018</x:v>
      </x:c>
      <x:c r="B19" s="26" t="str">
        <x:v>CUPRA</x:v>
      </x:c>
      <x:c r="C19" s="26" t="str">
        <x:v>Formentor</x:v>
      </x:c>
      <x:c r="D19" s="26" t="str">
        <x:v>SUV</x:v>
      </x:c>
      <x:c r="E19" s="26" t="str">
        <x:v>CURRENT</x:v>
      </x:c>
      <x:c r="F19" s="26" t="str">
        <x:v>RESMI_KAYNAKTAN_DERLENDI</x:v>
      </x:c>
      <x:c r="G19" s="26" t="str">
        <x:v>SCALE_BATCH_01</x:v>
      </x:c>
      <x:c r="H19" s="26" t="str">
        <x:v>SCALE_BATCH_01 DISCOVERY: Discovery-oriented CUV; adds both MHEV and long-range PHEV evidence.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MOD-000019</x:v>
      </x:c>
      <x:c r="B20" s="26" t="str">
        <x:v>MG</x:v>
      </x:c>
      <x:c r="C20" s="26" t="str">
        <x:v>HS Hybrid+</x:v>
      </x:c>
      <x:c r="D20" s="26" t="str">
        <x:v>SUV</x:v>
      </x:c>
      <x:c r="E20" s="26" t="str">
        <x:v>CURRENT</x:v>
      </x:c>
      <x:c r="F20" s="26" t="str">
        <x:v>RESMI_KAYNAKTAN_DERLENDI</x:v>
      </x:c>
      <x:c r="G20" s="26" t="str">
        <x:v>SCALE_BATCH_01</x:v>
      </x:c>
      <x:c r="H20" s="26" t="str">
        <x:v>SCALE_BATCH_01 DISCOVERY: New Turkey-market high-power HEV family SUV alternative.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MOD-000020</x:v>
      </x:c>
      <x:c r="B21" s="26" t="str">
        <x:v>Škoda</x:v>
      </x:c>
      <x:c r="C21" s="26" t="str">
        <x:v>Elroq</x:v>
      </x:c>
      <x:c r="D21" s="26" t="str">
        <x:v>SUV</x:v>
      </x:c>
      <x:c r="E21" s="26" t="str">
        <x:v>CURRENT</x:v>
      </x:c>
      <x:c r="F21" s="26" t="str">
        <x:v>RESMI_KAYNAKTAN_DERLENDI</x:v>
      </x:c>
      <x:c r="G21" s="26" t="str">
        <x:v>SCALE_BATCH_01</x:v>
      </x:c>
      <x:c r="H21" s="26" t="str">
        <x:v>SCALE_BATCH_01 DISCOVERY: Current Turkey-market BEV with structured battery/range/charging evidence.</x:v>
      </x:c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MOD-000021</x:v>
      </x:c>
      <x:c r="B22" s="26" t="str">
        <x:v>Škoda</x:v>
      </x:c>
      <x:c r="C22" s="26" t="str">
        <x:v>Superb Combi</x:v>
      </x:c>
      <x:c r="D22" s="26" t="str">
        <x:v>WAGON</x:v>
      </x:c>
      <x:c r="E22" s="26" t="str">
        <x:v>CURRENT</x:v>
      </x:c>
      <x:c r="F22" s="26" t="str">
        <x:v>RESMI_KAYNAKTAN_DERLENDI</x:v>
      </x:c>
      <x:c r="G22" s="26" t="str">
        <x:v>SCALE_BATCH_01</x:v>
      </x:c>
      <x:c r="H22" s="26" t="str">
        <x:v>SCALE_BATCH_01 MAINSTREAM: Large practical-family wagon alternative.</x:v>
      </x:c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MOD-000022</x:v>
      </x:c>
      <x:c r="B23" s="26" t="str">
        <x:v>Subaru</x:v>
      </x:c>
      <x:c r="C23" s="26" t="str">
        <x:v>Forester e-BOXER</x:v>
      </x:c>
      <x:c r="D23" s="26" t="str">
        <x:v>SUV</x:v>
      </x:c>
      <x:c r="E23" s="26" t="str">
        <x:v>CURRENT</x:v>
      </x:c>
      <x:c r="F23" s="26" t="str">
        <x:v>RESMI_KAYNAKTAN_DERLENDI</x:v>
      </x:c>
      <x:c r="G23" s="26" t="str">
        <x:v>SCALE_BATCH_01</x:v>
      </x:c>
      <x:c r="H23" s="26" t="str">
        <x:v>SCALE_BATCH_01 DISCOVERY: Family-size AWD rough-road discovery candidate.</x:v>
      </x:c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MOD-000023</x:v>
      </x:c>
      <x:c r="B24" s="26" t="str">
        <x:v>Škoda</x:v>
      </x:c>
      <x:c r="C24" s="26" t="str">
        <x:v>Scala</x:v>
      </x:c>
      <x:c r="D24" s="26" t="str">
        <x:v>HATCHBACK</x:v>
      </x:c>
      <x:c r="E24" s="26" t="str">
        <x:v>CURRENT</x:v>
      </x:c>
      <x:c r="F24" s="26" t="str">
        <x:v>RESMI_KAYNAKTAN_DERLENDI</x:v>
      </x:c>
      <x:c r="G24" s="26" t="str">
        <x:v>SCALE_BATCH_01</x:v>
      </x:c>
      <x:c r="H24" s="26" t="str">
        <x:v>SCALE_BATCH_01 MAINSTREAM: Practical C-hatch bridge between city car and family wagon.</x:v>
      </x:c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3">
    <x:dataValidation type="list" sqref="D2:D500">
      <x:formula1>'12_LISTS'!$B$2:$B$12</x:formula1>
    </x:dataValidation>
    <x:dataValidation type="list" sqref="E2:E500">
      <x:formula1>'12_LISTS'!$B$13:$B$18</x:formula1>
    </x:dataValidation>
    <x:dataValidation type="list" sqref="F2:F500">
      <x:formula1>'12_LISTS'!$B$19:$B$22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9efd05c66d48f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36" hidden="0" customWidth="1"/>
  </x:cols>
  <x:sheetData>
    <x:row r="1">
      <x:c r="A1" s="6" t="str">
        <x:v>generation_id</x:v>
      </x:c>
      <x:c r="B1" s="6" t="str">
        <x:v>model_id</x:v>
      </x:c>
      <x:c r="C1" s="6" t="str">
        <x:v>generation_name</x:v>
      </x:c>
      <x:c r="D1" s="6" t="str">
        <x:v>generation_code</x:v>
      </x:c>
      <x:c r="E1" s="6" t="str">
        <x:v>facelift_status</x:v>
      </x:c>
      <x:c r="F1" s="6" t="str">
        <x:v>production_start_year</x:v>
      </x:c>
      <x:c r="G1" s="6" t="str">
        <x:v>production_end_year</x:v>
      </x:c>
      <x:c r="H1" s="6" t="str">
        <x:v>market_start_year_tr</x:v>
      </x:c>
      <x:c r="I1" s="6" t="str">
        <x:v>market_end_year_tr</x:v>
      </x:c>
      <x:c r="J1" s="6" t="str">
        <x:v>identity_status</x:v>
      </x:c>
      <x:c r="K1" s="6" t="str">
        <x:v>legacy_source_id</x:v>
      </x:c>
      <x:c r="L1" s="6" t="str">
        <x:v>notes</x:v>
      </x:c>
    </x:row>
    <x:row r="2">
      <x:c r="A2" s="26" t="str">
        <x:v>GEN-000001</x:v>
      </x:c>
      <x:c r="B2" s="26" t="str">
        <x:v>MOD-000001</x:v>
      </x:c>
      <x:c r="C2" s="26" t="str">
        <x:v>2026 New Clio</x:v>
      </x:c>
      <x:c r="D2" s="26" t="str"/>
      <x:c r="E2" s="26" t="str">
        <x:v>UNKNOWN</x:v>
      </x:c>
      <x:c r="F2" s="26" t="str"/>
      <x:c r="G2" s="26" t="str"/>
      <x:c r="H2" s="26" t="n">
        <x:v>2026</x:v>
      </x:c>
      <x:c r="I2" s="26" t="str"/>
      <x:c r="J2" s="26" t="str">
        <x:v>PROVISIONAL</x:v>
      </x:c>
      <x:c r="K2" s="26" t="str">
        <x:v>PILOT-01</x:v>
      </x:c>
      <x:c r="L2" s="26" t="str">
        <x:v>Exact generation code/name to be verified from official documentation.</x:v>
      </x:c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GEN-000002</x:v>
      </x:c>
      <x:c r="B3" s="26" t="str">
        <x:v>MOD-000002</x:v>
      </x:c>
      <x:c r="C3" s="26" t="str">
        <x:v>Current Egea Sedan</x:v>
      </x:c>
      <x:c r="D3" s="26" t="str"/>
      <x:c r="E3" s="26" t="str">
        <x:v>UNKNOWN</x:v>
      </x:c>
      <x:c r="F3" s="26" t="str"/>
      <x:c r="G3" s="26" t="str"/>
      <x:c r="H3" s="26" t="str"/>
      <x:c r="I3" s="26" t="str"/>
      <x:c r="J3" s="26" t="str">
        <x:v>PROVISIONAL</x:v>
      </x:c>
      <x:c r="K3" s="26" t="str">
        <x:v>PILOT-02</x:v>
      </x:c>
      <x:c r="L3" s="26" t="str">
        <x:v>Generation boundaries to be resolved during identity pass.</x:v>
      </x:c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GEN-000003</x:v>
      </x:c>
      <x:c r="B4" s="26" t="str">
        <x:v>MOD-000003</x:v>
      </x:c>
      <x:c r="C4" s="26" t="str">
        <x:v>Current Corolla Sedan</x:v>
      </x:c>
      <x:c r="D4" s="26" t="str"/>
      <x:c r="E4" s="26" t="str">
        <x:v>UNKNOWN</x:v>
      </x:c>
      <x:c r="F4" s="26" t="str"/>
      <x:c r="G4" s="26" t="str"/>
      <x:c r="H4" s="26" t="str"/>
      <x:c r="I4" s="26" t="str"/>
      <x:c r="J4" s="26" t="str">
        <x:v>PROVISIONAL</x:v>
      </x:c>
      <x:c r="K4" s="26" t="str">
        <x:v>PILOT-03</x:v>
      </x:c>
      <x:c r="L4" s="26" t="str">
        <x:v>Generation/facelift boundary to be resolved from Toyota documentation.</x:v>
      </x:c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GEN-000004</x:v>
      </x:c>
      <x:c r="B5" s="26" t="str">
        <x:v>MOD-000004</x:v>
      </x:c>
      <x:c r="C5" s="26" t="str">
        <x:v>Current Vitara</x:v>
      </x:c>
      <x:c r="D5" s="26" t="str"/>
      <x:c r="E5" s="26" t="str">
        <x:v>UNKNOWN</x:v>
      </x:c>
      <x:c r="F5" s="26" t="str"/>
      <x:c r="G5" s="26" t="str"/>
      <x:c r="H5" s="26" t="str"/>
      <x:c r="I5" s="26" t="str"/>
      <x:c r="J5" s="26" t="str">
        <x:v>PROVISIONAL</x:v>
      </x:c>
      <x:c r="K5" s="26" t="str">
        <x:v>PILOT-04</x:v>
      </x:c>
      <x:c r="L5" s="26" t="str">
        <x:v>Generation/facelift identity to be verified.</x:v>
      </x:c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GEN-000005</x:v>
      </x:c>
      <x:c r="B6" s="26" t="str">
        <x:v>MOD-000005</x:v>
      </x:c>
      <x:c r="C6" s="26" t="str">
        <x:v>Current SEAL U DM-i</x:v>
      </x:c>
      <x:c r="D6" s="26" t="str"/>
      <x:c r="E6" s="26" t="str">
        <x:v>UNKNOWN</x:v>
      </x:c>
      <x:c r="F6" s="26" t="str"/>
      <x:c r="G6" s="26" t="str"/>
      <x:c r="H6" s="26" t="str"/>
      <x:c r="I6" s="26" t="str"/>
      <x:c r="J6" s="26" t="str">
        <x:v>PROVISIONAL</x:v>
      </x:c>
      <x:c r="K6" s="26" t="str">
        <x:v>PILOT-05</x:v>
      </x:c>
      <x:c r="L6" s="26" t="str">
        <x:v>Generation identity provisional; market configuration is source-backed.</x:v>
      </x:c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GEN-000006</x:v>
      </x:c>
      <x:c r="B7" s="26" t="str">
        <x:v>MOD-000006</x:v>
      </x:c>
      <x:c r="C7" s="26" t="str">
        <x:v>Current EV3</x:v>
      </x:c>
      <x:c r="D7" s="26" t="str"/>
      <x:c r="E7" s="26" t="str">
        <x:v>UNKNOWN</x:v>
      </x:c>
      <x:c r="F7" s="26" t="str"/>
      <x:c r="G7" s="26" t="str"/>
      <x:c r="H7" s="26" t="n">
        <x:v>2026</x:v>
      </x:c>
      <x:c r="I7" s="26" t="str"/>
      <x:c r="J7" s="26" t="str">
        <x:v>PROVISIONAL</x:v>
      </x:c>
      <x:c r="K7" s="26" t="str">
        <x:v>PILOT-06</x:v>
      </x:c>
      <x:c r="L7" s="26" t="str">
        <x:v>Generation identity provisional.</x:v>
      </x:c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GEN-000007</x:v>
      </x:c>
      <x:c r="B8" s="26" t="str">
        <x:v>MOD-000007</x:v>
      </x:c>
      <x:c r="C8" s="26" t="str">
        <x:v>Current T10X</x:v>
      </x:c>
      <x:c r="D8" s="26" t="str"/>
      <x:c r="E8" s="26" t="str">
        <x:v>UNKNOWN</x:v>
      </x:c>
      <x:c r="F8" s="26" t="str"/>
      <x:c r="G8" s="26" t="str"/>
      <x:c r="H8" s="26" t="str"/>
      <x:c r="I8" s="26" t="str"/>
      <x:c r="J8" s="26" t="str">
        <x:v>PROVISIONAL</x:v>
      </x:c>
      <x:c r="K8" s="26" t="str">
        <x:v>PILOT-07</x:v>
      </x:c>
      <x:c r="L8" s="26" t="str">
        <x:v>Generation identity provisional.</x:v>
      </x:c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GEN-000008</x:v>
      </x:c>
      <x:c r="B9" s="26" t="str">
        <x:v>MOD-000008</x:v>
      </x:c>
      <x:c r="C9" s="26" t="str">
        <x:v>2026 New Sandero Stepway</x:v>
      </x:c>
      <x:c r="D9" s="26" t="str"/>
      <x:c r="E9" s="26" t="str">
        <x:v>UNKNOWN</x:v>
      </x:c>
      <x:c r="F9" s="26" t="str"/>
      <x:c r="G9" s="26" t="str"/>
      <x:c r="H9" s="26" t="n">
        <x:v>2026</x:v>
      </x:c>
      <x:c r="I9" s="26" t="str"/>
      <x:c r="J9" s="26" t="str">
        <x:v>PROVISIONAL</x:v>
      </x:c>
      <x:c r="K9" s="26" t="str">
        <x:v>PILOT-08</x:v>
      </x:c>
      <x:c r="L9" s="26" t="str">
        <x:v>Generation code to be verified; MY2026 sales presence is source-backed.</x:v>
      </x:c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GEN-000009</x:v>
      </x:c>
      <x:c r="B10" s="26" t="str">
        <x:v>MOD-000009</x:v>
      </x:c>
      <x:c r="C10" s="26" t="str">
        <x:v>Current i20 facelift</x:v>
      </x:c>
      <x:c r="D10" s="26" t="str"/>
      <x:c r="E10" s="26" t="str">
        <x:v>FACELIFT</x:v>
      </x:c>
      <x:c r="F10" s="26" t="str"/>
      <x:c r="G10" s="26" t="str"/>
      <x:c r="H10" s="26" t="n">
        <x:v>2025</x:v>
      </x:c>
      <x:c r="I10" s="26" t="str"/>
      <x:c r="J10" s="26" t="str">
        <x:v>VERIFIED</x:v>
      </x:c>
      <x:c r="K10" s="26" t="str">
        <x:v>SCALE_BATCH_01</x:v>
      </x:c>
      <x:c r="L10" s="26" t="str">
        <x:v>Current Turkey-market generation identity observed from official model/configuration material.</x:v>
      </x:c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GEN-000010</x:v>
      </x:c>
      <x:c r="B11" s="26" t="str">
        <x:v>MOD-000010</x:v>
      </x:c>
      <x:c r="C11" s="26" t="str">
        <x:v>11th generation Civic</x:v>
      </x:c>
      <x:c r="D11" s="26" t="str"/>
      <x:c r="E11" s="26" t="str">
        <x:v>UNKNOWN</x:v>
      </x:c>
      <x:c r="F11" s="26" t="str"/>
      <x:c r="G11" s="26" t="str"/>
      <x:c r="H11" s="26" t="n">
        <x:v>2025</x:v>
      </x:c>
      <x:c r="I11" s="26" t="str"/>
      <x:c r="J11" s="26" t="str">
        <x:v>VERIFIED</x:v>
      </x:c>
      <x:c r="K11" s="26" t="str">
        <x:v>SCALE_BATCH_01</x:v>
      </x:c>
      <x:c r="L11" s="26" t="str">
        <x:v>Current Turkey-market generation identity observed from official model/configuration material.</x:v>
      </x:c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GEN-000011</x:v>
      </x:c>
      <x:c r="B12" s="26" t="str">
        <x:v>MOD-000011</x:v>
      </x:c>
      <x:c r="C12" s="26" t="str">
        <x:v>J12 facelift</x:v>
      </x:c>
      <x:c r="D12" s="26" t="str"/>
      <x:c r="E12" s="26" t="str">
        <x:v>FACELIFT</x:v>
      </x:c>
      <x:c r="F12" s="26" t="str"/>
      <x:c r="G12" s="26" t="str"/>
      <x:c r="H12" s="26" t="n">
        <x:v>2025</x:v>
      </x:c>
      <x:c r="I12" s="26" t="str"/>
      <x:c r="J12" s="26" t="str">
        <x:v>VERIFIED</x:v>
      </x:c>
      <x:c r="K12" s="26" t="str">
        <x:v>SCALE_BATCH_01</x:v>
      </x:c>
      <x:c r="L12" s="26" t="str">
        <x:v>Current Turkey-market generation identity observed from official model/configuration material.</x:v>
      </x:c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GEN-000012</x:v>
      </x:c>
      <x:c r="B13" s="26" t="str">
        <x:v>MOD-000012</x:v>
      </x:c>
      <x:c r="C13" s="26" t="str">
        <x:v>Octavia IV facelift</x:v>
      </x:c>
      <x:c r="D13" s="26" t="str"/>
      <x:c r="E13" s="26" t="str">
        <x:v>FACELIFT</x:v>
      </x:c>
      <x:c r="F13" s="26" t="str"/>
      <x:c r="G13" s="26" t="str"/>
      <x:c r="H13" s="26" t="n">
        <x:v>2025</x:v>
      </x:c>
      <x:c r="I13" s="26" t="str"/>
      <x:c r="J13" s="26" t="str">
        <x:v>VERIFIED</x:v>
      </x:c>
      <x:c r="K13" s="26" t="str">
        <x:v>SCALE_BATCH_01</x:v>
      </x:c>
      <x:c r="L13" s="26" t="str">
        <x:v>Current Turkey-market generation identity observed from official model/configuration material.</x:v>
      </x:c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GEN-000013</x:v>
      </x:c>
      <x:c r="B14" s="26" t="str">
        <x:v>MOD-000013</x:v>
      </x:c>
      <x:c r="C14" s="26" t="str">
        <x:v>Current Jogger</x:v>
      </x:c>
      <x:c r="D14" s="26" t="str"/>
      <x:c r="E14" s="26" t="str">
        <x:v>UNKNOWN</x:v>
      </x:c>
      <x:c r="F14" s="26" t="str"/>
      <x:c r="G14" s="26" t="str"/>
      <x:c r="H14" s="26" t="n">
        <x:v>2025</x:v>
      </x:c>
      <x:c r="I14" s="26" t="str"/>
      <x:c r="J14" s="26" t="str">
        <x:v>PROVISIONAL</x:v>
      </x:c>
      <x:c r="K14" s="26" t="str">
        <x:v>SCALE_BATCH_01</x:v>
      </x:c>
      <x:c r="L14" s="26" t="str">
        <x:v>POST_BATCH01_HARDENING closure attempted with SRC-000030/041. Current Yeni Jogger is shown, but exact 2026 model-year identity for Extreme Eco-G 120 auto was not deterministically established; remains PROVISIONAL.</x:v>
      </x:c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GEN-000014</x:v>
      </x:c>
      <x:c r="B15" s="26" t="str">
        <x:v>MOD-000014</x:v>
      </x:c>
      <x:c r="C15" s="26" t="str">
        <x:v>Austral facelift 2025</x:v>
      </x:c>
      <x:c r="D15" s="26" t="str"/>
      <x:c r="E15" s="26" t="str">
        <x:v>FACELIFT</x:v>
      </x:c>
      <x:c r="F15" s="26" t="str"/>
      <x:c r="G15" s="26" t="str"/>
      <x:c r="H15" s="26" t="n">
        <x:v>2025</x:v>
      </x:c>
      <x:c r="I15" s="26" t="str"/>
      <x:c r="J15" s="26" t="str">
        <x:v>VERIFIED</x:v>
      </x:c>
      <x:c r="K15" s="26" t="str">
        <x:v>SCALE_BATCH_01</x:v>
      </x:c>
      <x:c r="L15" s="26" t="str">
        <x:v>Current Turkey-market generation identity observed from official model/configuration material.</x:v>
      </x:c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GEN-000015</x:v>
      </x:c>
      <x:c r="B16" s="26" t="str">
        <x:v>MOD-000015</x:v>
      </x:c>
      <x:c r="C16" s="26" t="str">
        <x:v>Second generation C-HR</x:v>
      </x:c>
      <x:c r="D16" s="26" t="str"/>
      <x:c r="E16" s="26" t="str">
        <x:v>UNKNOWN</x:v>
      </x:c>
      <x:c r="F16" s="26" t="str"/>
      <x:c r="G16" s="26" t="str"/>
      <x:c r="H16" s="26" t="n">
        <x:v>2025</x:v>
      </x:c>
      <x:c r="I16" s="26" t="str"/>
      <x:c r="J16" s="26" t="str">
        <x:v>VERIFIED</x:v>
      </x:c>
      <x:c r="K16" s="26" t="str">
        <x:v>SCALE_BATCH_01</x:v>
      </x:c>
      <x:c r="L16" s="26" t="str">
        <x:v>Current Turkey-market generation identity observed from official model/configuration material.</x:v>
      </x:c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GEN-000016</x:v>
      </x:c>
      <x:c r="B17" s="26" t="str">
        <x:v>MOD-000016</x:v>
      </x:c>
      <x:c r="C17" s="26" t="str">
        <x:v>Fourth generation Jazz facelift</x:v>
      </x:c>
      <x:c r="D17" s="26" t="str"/>
      <x:c r="E17" s="26" t="str">
        <x:v>FACELIFT</x:v>
      </x:c>
      <x:c r="F17" s="26" t="str"/>
      <x:c r="G17" s="26" t="str"/>
      <x:c r="H17" s="26" t="n">
        <x:v>2025</x:v>
      </x:c>
      <x:c r="I17" s="26" t="str"/>
      <x:c r="J17" s="26" t="str">
        <x:v>VERIFIED</x:v>
      </x:c>
      <x:c r="K17" s="26" t="str">
        <x:v>SCALE_BATCH_01</x:v>
      </x:c>
      <x:c r="L17" s="26" t="str">
        <x:v>Current Turkey-market generation identity observed from official model/configuration material.</x:v>
      </x:c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GEN-000017</x:v>
      </x:c>
      <x:c r="B18" s="26" t="str">
        <x:v>MOD-000017</x:v>
      </x:c>
      <x:c r="C18" s="26" t="str">
        <x:v>Third generation Crosstrek</x:v>
      </x:c>
      <x:c r="D18" s="26" t="str"/>
      <x:c r="E18" s="26" t="str">
        <x:v>UNKNOWN</x:v>
      </x:c>
      <x:c r="F18" s="26" t="str"/>
      <x:c r="G18" s="26" t="str"/>
      <x:c r="H18" s="26" t="n">
        <x:v>2025</x:v>
      </x:c>
      <x:c r="I18" s="26" t="str"/>
      <x:c r="J18" s="26" t="str">
        <x:v>VERIFIED</x:v>
      </x:c>
      <x:c r="K18" s="26" t="str">
        <x:v>SCALE_BATCH_01</x:v>
      </x:c>
      <x:c r="L18" s="26" t="str">
        <x:v>Current Turkey-market generation identity observed from official model/configuration material.</x:v>
      </x:c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GEN-000018</x:v>
      </x:c>
      <x:c r="B19" s="26" t="str">
        <x:v>MOD-000018</x:v>
      </x:c>
      <x:c r="C19" s="26" t="str">
        <x:v>Formentor facelift</x:v>
      </x:c>
      <x:c r="D19" s="26" t="str"/>
      <x:c r="E19" s="26" t="str">
        <x:v>FACELIFT</x:v>
      </x:c>
      <x:c r="F19" s="26" t="str"/>
      <x:c r="G19" s="26" t="str"/>
      <x:c r="H19" s="26" t="n">
        <x:v>2025</x:v>
      </x:c>
      <x:c r="I19" s="26" t="str"/>
      <x:c r="J19" s="26" t="str">
        <x:v>VERIFIED</x:v>
      </x:c>
      <x:c r="K19" s="26" t="str">
        <x:v>SCALE_BATCH_01</x:v>
      </x:c>
      <x:c r="L19" s="26" t="str">
        <x:v>Current Turkey-market generation identity observed from official model/configuration material.</x:v>
      </x:c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GEN-000019</x:v>
      </x:c>
      <x:c r="B20" s="26" t="str">
        <x:v>MOD-000019</x:v>
      </x:c>
      <x:c r="C20" s="26" t="str">
        <x:v>Second generation HS</x:v>
      </x:c>
      <x:c r="D20" s="26" t="str"/>
      <x:c r="E20" s="26" t="str">
        <x:v>UNKNOWN</x:v>
      </x:c>
      <x:c r="F20" s="26" t="str"/>
      <x:c r="G20" s="26" t="str"/>
      <x:c r="H20" s="26" t="n">
        <x:v>2025</x:v>
      </x:c>
      <x:c r="I20" s="26" t="str"/>
      <x:c r="J20" s="26" t="str">
        <x:v>VERIFIED</x:v>
      </x:c>
      <x:c r="K20" s="26" t="str">
        <x:v>SCALE_BATCH_01</x:v>
      </x:c>
      <x:c r="L20" s="26" t="str">
        <x:v>Current Turkey-market generation identity observed from official model/configuration material.</x:v>
      </x:c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GEN-000020</x:v>
      </x:c>
      <x:c r="B21" s="26" t="str">
        <x:v>MOD-000020</x:v>
      </x:c>
      <x:c r="C21" s="26" t="str">
        <x:v>First generation Elroq</x:v>
      </x:c>
      <x:c r="D21" s="26" t="str"/>
      <x:c r="E21" s="26" t="str">
        <x:v>UNKNOWN</x:v>
      </x:c>
      <x:c r="F21" s="26" t="str"/>
      <x:c r="G21" s="26" t="str"/>
      <x:c r="H21" s="26" t="n">
        <x:v>2025</x:v>
      </x:c>
      <x:c r="I21" s="26" t="str"/>
      <x:c r="J21" s="26" t="str">
        <x:v>VERIFIED</x:v>
      </x:c>
      <x:c r="K21" s="26" t="str">
        <x:v>SCALE_BATCH_01</x:v>
      </x:c>
      <x:c r="L21" s="26" t="str">
        <x:v>Current Turkey-market generation identity observed from official model/configuration material.</x:v>
      </x:c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GEN-000021</x:v>
      </x:c>
      <x:c r="B22" s="26" t="str">
        <x:v>MOD-000021</x:v>
      </x:c>
      <x:c r="C22" s="26" t="str">
        <x:v>Fourth generation Superb</x:v>
      </x:c>
      <x:c r="D22" s="26" t="str"/>
      <x:c r="E22" s="26" t="str">
        <x:v>UNKNOWN</x:v>
      </x:c>
      <x:c r="F22" s="26" t="str"/>
      <x:c r="G22" s="26" t="str"/>
      <x:c r="H22" s="26" t="n">
        <x:v>2025</x:v>
      </x:c>
      <x:c r="I22" s="26" t="str"/>
      <x:c r="J22" s="26" t="str">
        <x:v>VERIFIED</x:v>
      </x:c>
      <x:c r="K22" s="26" t="str">
        <x:v>SCALE_BATCH_01</x:v>
      </x:c>
      <x:c r="L22" s="26" t="str">
        <x:v>Current Turkey-market generation identity observed from official model/configuration material.</x:v>
      </x:c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GEN-000022</x:v>
      </x:c>
      <x:c r="B23" s="26" t="str">
        <x:v>MOD-000022</x:v>
      </x:c>
      <x:c r="C23" s="26" t="str">
        <x:v>Sixth generation Forester</x:v>
      </x:c>
      <x:c r="D23" s="26" t="str"/>
      <x:c r="E23" s="26" t="str">
        <x:v>UNKNOWN</x:v>
      </x:c>
      <x:c r="F23" s="26" t="str"/>
      <x:c r="G23" s="26" t="str"/>
      <x:c r="H23" s="26" t="n">
        <x:v>2025</x:v>
      </x:c>
      <x:c r="I23" s="26" t="str"/>
      <x:c r="J23" s="26" t="str">
        <x:v>VERIFIED</x:v>
      </x:c>
      <x:c r="K23" s="26" t="str">
        <x:v>SCALE_BATCH_01</x:v>
      </x:c>
      <x:c r="L23" s="26" t="str">
        <x:v>POST_BATCH01_HARDENING: current sixth-generation Turkey model verified by official new-Forester technical material and MY2026 price list (SRC-000042/043).</x:v>
      </x:c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GEN-000023</x:v>
      </x:c>
      <x:c r="B24" s="26" t="str">
        <x:v>MOD-000023</x:v>
      </x:c>
      <x:c r="C24" s="26" t="str">
        <x:v>Scala facelift</x:v>
      </x:c>
      <x:c r="D24" s="26" t="str"/>
      <x:c r="E24" s="26" t="str">
        <x:v>FACELIFT</x:v>
      </x:c>
      <x:c r="F24" s="26" t="str"/>
      <x:c r="G24" s="26" t="str"/>
      <x:c r="H24" s="26" t="n">
        <x:v>2025</x:v>
      </x:c>
      <x:c r="I24" s="26" t="str"/>
      <x:c r="J24" s="26" t="str">
        <x:v>VERIFIED</x:v>
      </x:c>
      <x:c r="K24" s="26" t="str">
        <x:v>SCALE_BATCH_01</x:v>
      </x:c>
      <x:c r="L24" s="26" t="str">
        <x:v>POST_BATCH01_HARDENING: current Scala facelift verified by official Turkey model, comparison and 2026 price-list pages (SRC-000038/040/044).</x:v>
      </x:c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2">
    <x:dataValidation type="list" sqref="E2:E500">
      <x:formula1>'12_LISTS'!$B$26:$B$30</x:formula1>
    </x:dataValidation>
    <x:dataValidation type="list" sqref="J2:J500">
      <x:formula1>'12_LISTS'!$B$23:$B$25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e885c5ce09481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20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20" hidden="0" customWidth="1"/>
    <x:col min="11" max="11" width="16" hidden="0" customWidth="1"/>
    <x:col min="12" max="12" width="14" hidden="0" customWidth="1"/>
    <x:col min="13" max="13" width="18" hidden="0" customWidth="1"/>
    <x:col min="14" max="14" width="18" hidden="0" customWidth="1"/>
    <x:col min="15" max="15" width="28" hidden="0" customWidth="1"/>
    <x:col min="16" max="16" width="36" hidden="0" customWidth="1"/>
  </x:cols>
  <x:sheetData>
    <x:row r="1">
      <x:c r="A1" s="6" t="str">
        <x:v>powertrain_id</x:v>
      </x:c>
      <x:c r="B1" s="6" t="str">
        <x:v>generation_id</x:v>
      </x:c>
      <x:c r="C1" s="6" t="str">
        <x:v>marketing_name</x:v>
      </x:c>
      <x:c r="D1" s="6" t="str">
        <x:v>fuel_type</x:v>
      </x:c>
      <x:c r="E1" s="6" t="str">
        <x:v>electrification_type</x:v>
      </x:c>
      <x:c r="F1" s="6" t="str">
        <x:v>engine_displacement_cc</x:v>
      </x:c>
      <x:c r="G1" s="6" t="str">
        <x:v>power_kw</x:v>
      </x:c>
      <x:c r="H1" s="6" t="str">
        <x:v>power_ps</x:v>
      </x:c>
      <x:c r="I1" s="6" t="str">
        <x:v>torque_nm</x:v>
      </x:c>
      <x:c r="J1" s="6" t="str">
        <x:v>transmission_type</x:v>
      </x:c>
      <x:c r="K1" s="6" t="str">
        <x:v>transmission_gears</x:v>
      </x:c>
      <x:c r="L1" s="6" t="str">
        <x:v>drivetrain</x:v>
      </x:c>
      <x:c r="M1" s="6" t="str">
        <x:v>battery_usable_kwh</x:v>
      </x:c>
      <x:c r="N1" s="6" t="str">
        <x:v>identity_status</x:v>
      </x:c>
      <x:c r="O1" s="6" t="str">
        <x:v>legacy_motor_text</x:v>
      </x:c>
      <x:c r="P1" s="6" t="str">
        <x:v>notes</x:v>
      </x:c>
    </x:row>
    <x:row r="2">
      <x:c r="A2" s="26" t="str">
        <x:v>PWR-000001</x:v>
      </x:c>
      <x:c r="B2" s="26" t="str">
        <x:v>GEN-000001</x:v>
      </x:c>
      <x:c r="C2" s="26" t="str">
        <x:v>TCe EDC 115 hp</x:v>
      </x:c>
      <x:c r="D2" s="26" t="str">
        <x:v>PETROL</x:v>
      </x:c>
      <x:c r="E2" s="26" t="str">
        <x:v>NONE</x:v>
      </x:c>
      <x:c r="F2" s="26" t="n">
        <x:v>1199</x:v>
      </x:c>
      <x:c r="G2" s="26" t="n">
        <x:v>85</x:v>
      </x:c>
      <x:c r="H2" s="26" t="n">
        <x:v>115</x:v>
      </x:c>
      <x:c r="I2" s="26" t="n">
        <x:v>190</x:v>
      </x:c>
      <x:c r="J2" s="26" t="str">
        <x:v>DCT</x:v>
      </x:c>
      <x:c r="K2" s="26" t="n">
        <x:v>6</x:v>
      </x:c>
      <x:c r="L2" s="26" t="str">
        <x:v>FWD</x:v>
      </x:c>
      <x:c r="M2" s="26" t="str"/>
      <x:c r="N2" s="26" t="str">
        <x:v>VERIFIED</x:v>
      </x:c>
      <x:c r="O2" s="26" t="str">
        <x:v>TCe EDC 115 hp</x:v>
      </x:c>
      <x:c r="P2" s="26" t="str">
        <x:v>Official Renault Türkiye technical page verifies engine, 6-speed DCT and FWD.</x:v>
      </x:c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PWR-000002</x:v>
      </x:c>
      <x:c r="B3" s="26" t="str">
        <x:v>GEN-000002</x:v>
      </x:c>
      <x:c r="C3" s="26" t="str">
        <x:v>1.6 M.Jet 130 HP Manual</x:v>
      </x:c>
      <x:c r="D3" s="26" t="str">
        <x:v>DIESEL</x:v>
      </x:c>
      <x:c r="E3" s="26" t="str">
        <x:v>NONE</x:v>
      </x:c>
      <x:c r="F3" s="26" t="n">
        <x:v>1598</x:v>
      </x:c>
      <x:c r="G3" s="26" t="n">
        <x:v>96</x:v>
      </x:c>
      <x:c r="H3" s="26" t="n">
        <x:v>130</x:v>
      </x:c>
      <x:c r="I3" s="26" t="n">
        <x:v>320</x:v>
      </x:c>
      <x:c r="J3" s="26" t="str">
        <x:v>MANUAL</x:v>
      </x:c>
      <x:c r="K3" s="26" t="n">
        <x:v>6</x:v>
      </x:c>
      <x:c r="L3" s="26" t="str">
        <x:v>FWD</x:v>
      </x:c>
      <x:c r="M3" s="26" t="str"/>
      <x:c r="N3" s="26" t="str">
        <x:v>VERIFIED</x:v>
      </x:c>
      <x:c r="O3" s="26" t="str">
        <x:v>1.6 M.Jet 130 HP</x:v>
      </x:c>
      <x:c r="P3" s="26" t="str">
        <x:v>Pilot closure: exact Easy configuration resolved to current 2026 6-speed manual diesel, avoiding unsupported trim+automatic linkage.</x:v>
      </x:c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PWR-000003</x:v>
      </x:c>
      <x:c r="B4" s="26" t="str">
        <x:v>GEN-000003</x:v>
      </x:c>
      <x:c r="C4" s="26" t="str">
        <x:v>1.8 Hybrid e-CVT</x:v>
      </x:c>
      <x:c r="D4" s="26" t="str">
        <x:v>PETROL</x:v>
      </x:c>
      <x:c r="E4" s="26" t="str">
        <x:v>HEV</x:v>
      </x:c>
      <x:c r="F4" s="26" t="n">
        <x:v>1798</x:v>
      </x:c>
      <x:c r="G4" s="26" t="n">
        <x:v>103</x:v>
      </x:c>
      <x:c r="H4" s="26" t="n">
        <x:v>140</x:v>
      </x:c>
      <x:c r="I4" s="26" t="str"/>
      <x:c r="J4" s="26" t="str">
        <x:v>E_CVT</x:v>
      </x:c>
      <x:c r="K4" s="26" t="str"/>
      <x:c r="L4" s="26" t="str">
        <x:v>FWD</x:v>
      </x:c>
      <x:c r="M4" s="26" t="str"/>
      <x:c r="N4" s="26" t="str">
        <x:v>VERIFIED</x:v>
      </x:c>
      <x:c r="O4" s="26" t="str">
        <x:v>1.8 Hybrid e-CVT</x:v>
      </x:c>
      <x:c r="P4" s="26" t="str">
        <x:v>Toyota Jan 2026 brochure verifies 140 HP / 103 kW hybrid system and e-CVT.</x:v>
      </x:c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PWR-000004</x:v>
      </x:c>
      <x:c r="B5" s="26" t="str">
        <x:v>GEN-000004</x:v>
      </x:c>
      <x:c r="C5" s="26" t="str">
        <x:v>1.4L Boosterjet 48V SHVS MHEV 6AT AllGrip</x:v>
      </x:c>
      <x:c r="D5" s="26" t="str">
        <x:v>PETROL</x:v>
      </x:c>
      <x:c r="E5" s="26" t="str">
        <x:v>MHEV</x:v>
      </x:c>
      <x:c r="F5" s="26" t="n">
        <x:v>1373</x:v>
      </x:c>
      <x:c r="G5" s="26" t="str"/>
      <x:c r="H5" s="26" t="n">
        <x:v>109</x:v>
      </x:c>
      <x:c r="I5" s="26" t="n">
        <x:v>235</x:v>
      </x:c>
      <x:c r="J5" s="26" t="str">
        <x:v>AUTOMATIC</x:v>
      </x:c>
      <x:c r="K5" s="26" t="n">
        <x:v>6</x:v>
      </x:c>
      <x:c r="L5" s="26" t="str">
        <x:v>4WD</x:v>
      </x:c>
      <x:c r="M5" s="26" t="str"/>
      <x:c r="N5" s="26" t="str">
        <x:v>VERIFIED</x:v>
      </x:c>
      <x:c r="O5" s="26" t="str">
        <x:v>1.4 MHEV 6AT AllGrip</x:v>
      </x:c>
      <x:c r="P5" s="26" t="str">
        <x:v>Suzuki Türkiye technical page verifies 109 PS, 235 Nm, 6AT and AllGrip 4x4.</x:v>
      </x:c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PWR-000005</x:v>
      </x:c>
      <x:c r="B6" s="26" t="str">
        <x:v>GEN-000005</x:v>
      </x:c>
      <x:c r="C6" s="26" t="str">
        <x:v>1.5L DM-i Design</x:v>
      </x:c>
      <x:c r="D6" s="26" t="str">
        <x:v>PETROL</x:v>
      </x:c>
      <x:c r="E6" s="26" t="str">
        <x:v>PHEV</x:v>
      </x:c>
      <x:c r="F6" s="26" t="n">
        <x:v>1498</x:v>
      </x:c>
      <x:c r="G6" s="26" t="n">
        <x:v>160</x:v>
      </x:c>
      <x:c r="H6" s="26" t="n">
        <x:v>218</x:v>
      </x:c>
      <x:c r="I6" s="26" t="n">
        <x:v>300</x:v>
      </x:c>
      <x:c r="J6" s="26" t="str">
        <x:v>E_CVT</x:v>
      </x:c>
      <x:c r="K6" s="26" t="str"/>
      <x:c r="L6" s="26" t="str">
        <x:v>FWD</x:v>
      </x:c>
      <x:c r="M6" s="26" t="str"/>
      <x:c r="N6" s="26" t="str">
        <x:v>VERIFIED</x:v>
      </x:c>
      <x:c r="O6" s="26" t="str">
        <x:v>1.5L Design</x:v>
      </x:c>
      <x:c r="P6" s="26" t="str">
        <x:v>BYD Türkiye Mar 2026 brochure. 18.3 kWh is published as battery capacity, not explicitly usable.</x:v>
      </x:c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PWR-000006</x:v>
      </x:c>
      <x:c r="B7" s="26" t="str">
        <x:v>GEN-000006</x:v>
      </x:c>
      <x:c r="C7" s="26" t="str">
        <x:v>Electric 58.3 kWh</x:v>
      </x:c>
      <x:c r="D7" s="26" t="str">
        <x:v>ELECTRIC</x:v>
      </x:c>
      <x:c r="E7" s="26" t="str">
        <x:v>BEV</x:v>
      </x:c>
      <x:c r="F7" s="26" t="str"/>
      <x:c r="G7" s="26" t="n">
        <x:v>150</x:v>
      </x:c>
      <x:c r="H7" s="26" t="n">
        <x:v>204</x:v>
      </x:c>
      <x:c r="I7" s="26" t="n">
        <x:v>283</x:v>
      </x:c>
      <x:c r="J7" s="26" t="str">
        <x:v>SINGLE_SPEED</x:v>
      </x:c>
      <x:c r="K7" s="26" t="str"/>
      <x:c r="L7" s="26" t="str">
        <x:v>FWD</x:v>
      </x:c>
      <x:c r="M7" s="26" t="str"/>
      <x:c r="N7" s="26" t="str">
        <x:v>VERIFIED</x:v>
      </x:c>
      <x:c r="O7" s="26" t="str">
        <x:v>Electric Prestige</x:v>
      </x:c>
      <x:c r="P7" s="26" t="str">
        <x:v>Kia Türkiye EV3 technical page verifies 150 kW / 204 PS / 283 Nm. Battery capacity is not labeled gross/usable.</x:v>
      </x:c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PWR-000007</x:v>
      </x:c>
      <x:c r="B8" s="26" t="str">
        <x:v>GEN-000007</x:v>
      </x:c>
      <x:c r="C8" s="26" t="str">
        <x:v>V2 RWD Uzun Menzil</x:v>
      </x:c>
      <x:c r="D8" s="26" t="str">
        <x:v>ELECTRIC</x:v>
      </x:c>
      <x:c r="E8" s="26" t="str">
        <x:v>BEV</x:v>
      </x:c>
      <x:c r="F8" s="26" t="str"/>
      <x:c r="G8" s="26" t="n">
        <x:v>160</x:v>
      </x:c>
      <x:c r="H8" s="26" t="n">
        <x:v>218</x:v>
      </x:c>
      <x:c r="I8" s="26" t="str"/>
      <x:c r="J8" s="26" t="str">
        <x:v>SINGLE_SPEED</x:v>
      </x:c>
      <x:c r="K8" s="26" t="str"/>
      <x:c r="L8" s="26" t="str">
        <x:v>RWD</x:v>
      </x:c>
      <x:c r="M8" s="26" t="str"/>
      <x:c r="N8" s="26" t="str">
        <x:v>VERIFIED</x:v>
      </x:c>
      <x:c r="O8" s="26" t="str">
        <x:v>RWD Long Range</x:v>
      </x:c>
      <x:c r="P8" s="26" t="str">
        <x:v>Current official Togg price list identifies V2 RWD Uzun Menzil; Media Center T10X V2 technical set is used for V2 evidence.</x:v>
      </x:c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PWR-000008</x:v>
      </x:c>
      <x:c r="B9" s="26" t="str">
        <x:v>GEN-000008</x:v>
      </x:c>
      <x:c r="C9" s="26" t="str">
        <x:v>Eco-G 120 auto</x:v>
      </x:c>
      <x:c r="D9" s="26" t="str">
        <x:v>LPG</x:v>
      </x:c>
      <x:c r="E9" s="26" t="str">
        <x:v>NONE</x:v>
      </x:c>
      <x:c r="F9" s="26" t="n">
        <x:v>1199</x:v>
      </x:c>
      <x:c r="G9" s="26" t="str"/>
      <x:c r="H9" s="26" t="n">
        <x:v>120</x:v>
      </x:c>
      <x:c r="I9" s="26" t="n">
        <x:v>197</x:v>
      </x:c>
      <x:c r="J9" s="26" t="str">
        <x:v>DCT</x:v>
      </x:c>
      <x:c r="K9" s="26" t="n">
        <x:v>6</x:v>
      </x:c>
      <x:c r="L9" s="26" t="str">
        <x:v>FWD</x:v>
      </x:c>
      <x:c r="M9" s="26" t="str"/>
      <x:c r="N9" s="26" t="str">
        <x:v>VERIFIED</x:v>
      </x:c>
      <x:c r="O9" s="26" t="str">
        <x:v>Eco-G 120 auto</x:v>
      </x:c>
      <x:c r="P9" s="26" t="str">
        <x:v>Dacia Türkiye verifies LPG+petrol, 6-speed EDC, 4x2, 1199 cc and 197 Nm.</x:v>
      </x:c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PWR-000009</x:v>
      </x:c>
      <x:c r="B10" s="26" t="str">
        <x:v>GEN-000009</x:v>
      </x:c>
      <x:c r="C10" s="26" t="str">
        <x:v>1.0 T-GDI 90 PS 7DCT</x:v>
      </x:c>
      <x:c r="D10" s="26" t="str">
        <x:v>PETROL</x:v>
      </x:c>
      <x:c r="E10" s="26" t="str">
        <x:v>NONE</x:v>
      </x:c>
      <x:c r="F10" s="26" t="n">
        <x:v>998</x:v>
      </x:c>
      <x:c r="G10" s="26" t="n">
        <x:v>66</x:v>
      </x:c>
      <x:c r="H10" s="26" t="n">
        <x:v>90</x:v>
      </x:c>
      <x:c r="I10" s="26" t="n">
        <x:v>172</x:v>
      </x:c>
      <x:c r="J10" s="26" t="str">
        <x:v>DCT</x:v>
      </x:c>
      <x:c r="K10" s="26" t="n">
        <x:v>7</x:v>
      </x:c>
      <x:c r="L10" s="26" t="str">
        <x:v>FWD</x:v>
      </x:c>
      <x:c r="M10" s="26" t="str"/>
      <x:c r="N10" s="26" t="str">
        <x:v>VERIFIED</x:v>
      </x:c>
      <x:c r="O10" s="26" t="str">
        <x:v>1.0 T-GDI 90 PS 7DCT</x:v>
      </x:c>
      <x:c r="P10" s="26" t="str">
        <x:v>SCALE_BATCH_01; official Turkey-market product/brochure applicability.</x:v>
      </x:c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PWR-000010</x:v>
      </x:c>
      <x:c r="B11" s="26" t="str">
        <x:v>GEN-000010</x:v>
      </x:c>
      <x:c r="C11" s="26" t="str">
        <x:v>1.5L VTEC Turbo ECO LPG CVT</x:v>
      </x:c>
      <x:c r="D11" s="26" t="str">
        <x:v>LPG</x:v>
      </x:c>
      <x:c r="E11" s="26" t="str">
        <x:v>NONE</x:v>
      </x:c>
      <x:c r="F11" s="26" t="n">
        <x:v>1498</x:v>
      </x:c>
      <x:c r="G11" s="26" t="n">
        <x:v>134</x:v>
      </x:c>
      <x:c r="H11" s="26" t="n">
        <x:v>182</x:v>
      </x:c>
      <x:c r="I11" s="26" t="n">
        <x:v>240</x:v>
      </x:c>
      <x:c r="J11" s="26" t="str">
        <x:v>CVT</x:v>
      </x:c>
      <x:c r="K11" s="26" t="str"/>
      <x:c r="L11" s="26" t="str">
        <x:v>FWD</x:v>
      </x:c>
      <x:c r="M11" s="26" t="str"/>
      <x:c r="N11" s="26" t="str">
        <x:v>VERIFIED</x:v>
      </x:c>
      <x:c r="O11" s="26" t="str">
        <x:v>1.5L VTEC Turbo ECO LPG CVT</x:v>
      </x:c>
      <x:c r="P11" s="26" t="str">
        <x:v>SCALE_BATCH_01; official Turkey-market product/brochure applicability.</x:v>
      </x:c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PWR-000011</x:v>
      </x:c>
      <x:c r="B12" s="26" t="str">
        <x:v>GEN-000011</x:v>
      </x:c>
      <x:c r="C12" s="26" t="str">
        <x:v>1.3 DIG-T Mild Hybrid X-Tronic</x:v>
      </x:c>
      <x:c r="D12" s="26" t="str">
        <x:v>PETROL</x:v>
      </x:c>
      <x:c r="E12" s="26" t="str">
        <x:v>MHEV</x:v>
      </x:c>
      <x:c r="F12" s="26" t="n">
        <x:v>1332</x:v>
      </x:c>
      <x:c r="G12" s="26" t="n">
        <x:v>116</x:v>
      </x:c>
      <x:c r="H12" s="26" t="n">
        <x:v>158</x:v>
      </x:c>
      <x:c r="I12" s="26" t="n">
        <x:v>270</x:v>
      </x:c>
      <x:c r="J12" s="26" t="str">
        <x:v>CVT</x:v>
      </x:c>
      <x:c r="K12" s="26" t="str"/>
      <x:c r="L12" s="26" t="str">
        <x:v>FWD</x:v>
      </x:c>
      <x:c r="M12" s="26" t="str"/>
      <x:c r="N12" s="26" t="str">
        <x:v>VERIFIED</x:v>
      </x:c>
      <x:c r="O12" s="26" t="str">
        <x:v>1.3 DIG-T Mild Hybrid X-Tronic</x:v>
      </x:c>
      <x:c r="P12" s="26" t="str">
        <x:v>SCALE_BATCH_01; official Turkey-market product/brochure applicability.</x:v>
      </x:c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PWR-000012</x:v>
      </x:c>
      <x:c r="B13" s="26" t="str">
        <x:v>GEN-000011</x:v>
      </x:c>
      <x:c r="C13" s="26" t="str">
        <x:v>e-POWER 190</x:v>
      </x:c>
      <x:c r="D13" s="26" t="str">
        <x:v>PETROL</x:v>
      </x:c>
      <x:c r="E13" s="26" t="str">
        <x:v>HEV</x:v>
      </x:c>
      <x:c r="F13" s="26" t="n">
        <x:v>1497</x:v>
      </x:c>
      <x:c r="G13" s="26" t="n">
        <x:v>140</x:v>
      </x:c>
      <x:c r="H13" s="26" t="n">
        <x:v>190</x:v>
      </x:c>
      <x:c r="I13" s="26" t="n">
        <x:v>330</x:v>
      </x:c>
      <x:c r="J13" s="26" t="str">
        <x:v>SINGLE_SPEED</x:v>
      </x:c>
      <x:c r="K13" s="26" t="str"/>
      <x:c r="L13" s="26" t="str">
        <x:v>FWD</x:v>
      </x:c>
      <x:c r="M13" s="26" t="str"/>
      <x:c r="N13" s="26" t="str">
        <x:v>VERIFIED</x:v>
      </x:c>
      <x:c r="O13" s="26" t="str">
        <x:v>e-POWER 190</x:v>
      </x:c>
      <x:c r="P13" s="26" t="str">
        <x:v>SCALE_BATCH_01; official Turkey-market product/brochure applicability.</x:v>
      </x:c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PWR-000013</x:v>
      </x:c>
      <x:c r="B14" s="26" t="str">
        <x:v>GEN-000012</x:v>
      </x:c>
      <x:c r="C14" s="26" t="str">
        <x:v>1.5 TSI mHEV 150 PS DSG</x:v>
      </x:c>
      <x:c r="D14" s="26" t="str">
        <x:v>PETROL</x:v>
      </x:c>
      <x:c r="E14" s="26" t="str">
        <x:v>MHEV</x:v>
      </x:c>
      <x:c r="F14" s="26" t="n">
        <x:v>1498</x:v>
      </x:c>
      <x:c r="G14" s="26" t="n">
        <x:v>110</x:v>
      </x:c>
      <x:c r="H14" s="26" t="n">
        <x:v>150</x:v>
      </x:c>
      <x:c r="I14" s="26" t="n">
        <x:v>250</x:v>
      </x:c>
      <x:c r="J14" s="26" t="str">
        <x:v>DCT</x:v>
      </x:c>
      <x:c r="K14" s="26" t="n">
        <x:v>7</x:v>
      </x:c>
      <x:c r="L14" s="26" t="str">
        <x:v>FWD</x:v>
      </x:c>
      <x:c r="M14" s="26" t="str"/>
      <x:c r="N14" s="26" t="str">
        <x:v>VERIFIED</x:v>
      </x:c>
      <x:c r="O14" s="26" t="str">
        <x:v>1.5 TSI mHEV 150 PS DSG</x:v>
      </x:c>
      <x:c r="P14" s="26" t="str">
        <x:v>SCALE_BATCH_01; official Turkey-market product/brochure applicability.</x:v>
      </x:c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PWR-000014</x:v>
      </x:c>
      <x:c r="B15" s="26" t="str">
        <x:v>GEN-000013</x:v>
      </x:c>
      <x:c r="C15" s="26" t="str">
        <x:v>Eco-G 120 auto</x:v>
      </x:c>
      <x:c r="D15" s="26" t="str">
        <x:v>LPG</x:v>
      </x:c>
      <x:c r="E15" s="26" t="str">
        <x:v>NONE</x:v>
      </x:c>
      <x:c r="F15" s="26" t="str"/>
      <x:c r="G15" s="26" t="str"/>
      <x:c r="H15" s="26" t="n">
        <x:v>120</x:v>
      </x:c>
      <x:c r="I15" s="26" t="str"/>
      <x:c r="J15" s="26" t="str">
        <x:v>DCT</x:v>
      </x:c>
      <x:c r="K15" s="26" t="n">
        <x:v>6</x:v>
      </x:c>
      <x:c r="L15" s="26" t="str">
        <x:v>FWD</x:v>
      </x:c>
      <x:c r="M15" s="26" t="str"/>
      <x:c r="N15" s="26" t="str">
        <x:v>PROVISIONAL</x:v>
      </x:c>
      <x:c r="O15" s="26" t="str">
        <x:v>Eco-G 120 auto</x:v>
      </x:c>
      <x:c r="P15" s="26" t="str">
        <x:v>POST_BATCH01_HARDENING closure attempted. Official current configurator exposes Eco-G 120 auto under Extreme choices, but deterministic selected-state/model-year evidence was not captured; remains PROVISIONAL.</x:v>
      </x:c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PWR-000015</x:v>
      </x:c>
      <x:c r="B16" s="26" t="str">
        <x:v>GEN-000014</x:v>
      </x:c>
      <x:c r="C16" s="26" t="str">
        <x:v>full hybrid E-Tech 200 hp</x:v>
      </x:c>
      <x:c r="D16" s="26" t="str">
        <x:v>PETROL</x:v>
      </x:c>
      <x:c r="E16" s="26" t="str">
        <x:v>HEV</x:v>
      </x:c>
      <x:c r="F16" s="26" t="str"/>
      <x:c r="G16" s="26" t="str"/>
      <x:c r="H16" s="26" t="n">
        <x:v>200</x:v>
      </x:c>
      <x:c r="I16" s="26" t="str"/>
      <x:c r="J16" s="26" t="str">
        <x:v>AUTOMATIC</x:v>
      </x:c>
      <x:c r="K16" s="26" t="str"/>
      <x:c r="L16" s="26" t="str">
        <x:v>FWD</x:v>
      </x:c>
      <x:c r="M16" s="26" t="str"/>
      <x:c r="N16" s="26" t="str">
        <x:v>VERIFIED</x:v>
      </x:c>
      <x:c r="O16" s="26" t="str">
        <x:v>full hybrid E-Tech 200 hp</x:v>
      </x:c>
      <x:c r="P16" s="26" t="str">
        <x:v>SCALE_BATCH_01; official Turkey-market product/brochure applicability.</x:v>
      </x:c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PWR-000016</x:v>
      </x:c>
      <x:c r="B17" s="26" t="str">
        <x:v>GEN-000015</x:v>
      </x:c>
      <x:c r="C17" s="26" t="str">
        <x:v>1.8 Hybrid 140 e-CVT</x:v>
      </x:c>
      <x:c r="D17" s="26" t="str">
        <x:v>PETROL</x:v>
      </x:c>
      <x:c r="E17" s="26" t="str">
        <x:v>HEV</x:v>
      </x:c>
      <x:c r="F17" s="26" t="n">
        <x:v>1798</x:v>
      </x:c>
      <x:c r="G17" s="26" t="n">
        <x:v>103</x:v>
      </x:c>
      <x:c r="H17" s="26" t="n">
        <x:v>140</x:v>
      </x:c>
      <x:c r="I17" s="26" t="n">
        <x:v>142</x:v>
      </x:c>
      <x:c r="J17" s="26" t="str">
        <x:v>E_CVT</x:v>
      </x:c>
      <x:c r="K17" s="26" t="str"/>
      <x:c r="L17" s="26" t="str">
        <x:v>FWD</x:v>
      </x:c>
      <x:c r="M17" s="26" t="str"/>
      <x:c r="N17" s="26" t="str">
        <x:v>VERIFIED</x:v>
      </x:c>
      <x:c r="O17" s="26" t="str">
        <x:v>1.8 Hybrid 140 e-CVT</x:v>
      </x:c>
      <x:c r="P17" s="26" t="str">
        <x:v>SCALE_BATCH_01; official Turkey-market product/brochure applicability.</x:v>
      </x:c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PWR-000017</x:v>
      </x:c>
      <x:c r="B18" s="26" t="str">
        <x:v>GEN-000016</x:v>
      </x:c>
      <x:c r="C18" s="26" t="str">
        <x:v>1.5L Hybrid e-CVT</x:v>
      </x:c>
      <x:c r="D18" s="26" t="str">
        <x:v>PETROL</x:v>
      </x:c>
      <x:c r="E18" s="26" t="str">
        <x:v>HEV</x:v>
      </x:c>
      <x:c r="F18" s="26" t="n">
        <x:v>1498</x:v>
      </x:c>
      <x:c r="G18" s="26" t="str"/>
      <x:c r="H18" s="26" t="n">
        <x:v>122</x:v>
      </x:c>
      <x:c r="I18" s="26" t="n">
        <x:v>131</x:v>
      </x:c>
      <x:c r="J18" s="26" t="str">
        <x:v>E_CVT</x:v>
      </x:c>
      <x:c r="K18" s="26" t="str"/>
      <x:c r="L18" s="26" t="str">
        <x:v>FWD</x:v>
      </x:c>
      <x:c r="M18" s="26" t="str"/>
      <x:c r="N18" s="26" t="str">
        <x:v>VERIFIED</x:v>
      </x:c>
      <x:c r="O18" s="26" t="str">
        <x:v>1.5L Hybrid e-CVT</x:v>
      </x:c>
      <x:c r="P18" s="26" t="str">
        <x:v>SCALE_BATCH_01; official Turkey-market product/brochure applicability.</x:v>
      </x:c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PWR-000018</x:v>
      </x:c>
      <x:c r="B19" s="26" t="str">
        <x:v>GEN-000017</x:v>
      </x:c>
      <x:c r="C19" s="26" t="str">
        <x:v>2.0i e-BOXER Lineartronic AWD</x:v>
      </x:c>
      <x:c r="D19" s="26" t="str">
        <x:v>PETROL</x:v>
      </x:c>
      <x:c r="E19" s="26" t="str">
        <x:v>HEV</x:v>
      </x:c>
      <x:c r="F19" s="26" t="n">
        <x:v>1995</x:v>
      </x:c>
      <x:c r="G19" s="26" t="n">
        <x:v>100</x:v>
      </x:c>
      <x:c r="H19" s="26" t="n">
        <x:v>136</x:v>
      </x:c>
      <x:c r="I19" s="26" t="n">
        <x:v>182</x:v>
      </x:c>
      <x:c r="J19" s="26" t="str">
        <x:v>CVT</x:v>
      </x:c>
      <x:c r="K19" s="26" t="str"/>
      <x:c r="L19" s="26" t="str">
        <x:v>AWD</x:v>
      </x:c>
      <x:c r="M19" s="26" t="str"/>
      <x:c r="N19" s="26" t="str">
        <x:v>VERIFIED</x:v>
      </x:c>
      <x:c r="O19" s="26" t="str">
        <x:v>2.0i e-BOXER Lineartronic AWD</x:v>
      </x:c>
      <x:c r="P19" s="26" t="str">
        <x:v>SCALE_BATCH_01; official Turkey-market product/brochure applicability.</x:v>
      </x:c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PWR-000019</x:v>
      </x:c>
      <x:c r="B20" s="26" t="str">
        <x:v>GEN-000018</x:v>
      </x:c>
      <x:c r="C20" s="26" t="str">
        <x:v>1.5 eTSI 150 PS DSG mHEV</x:v>
      </x:c>
      <x:c r="D20" s="26" t="str">
        <x:v>PETROL</x:v>
      </x:c>
      <x:c r="E20" s="26" t="str">
        <x:v>MHEV</x:v>
      </x:c>
      <x:c r="F20" s="26" t="n">
        <x:v>1498</x:v>
      </x:c>
      <x:c r="G20" s="26" t="n">
        <x:v>110</x:v>
      </x:c>
      <x:c r="H20" s="26" t="n">
        <x:v>150</x:v>
      </x:c>
      <x:c r="I20" s="26" t="n">
        <x:v>250</x:v>
      </x:c>
      <x:c r="J20" s="26" t="str">
        <x:v>DCT</x:v>
      </x:c>
      <x:c r="K20" s="26" t="n">
        <x:v>7</x:v>
      </x:c>
      <x:c r="L20" s="26" t="str">
        <x:v>FWD</x:v>
      </x:c>
      <x:c r="M20" s="26" t="str"/>
      <x:c r="N20" s="26" t="str">
        <x:v>VERIFIED</x:v>
      </x:c>
      <x:c r="O20" s="26" t="str">
        <x:v>1.5 eTSI 150 PS DSG mHEV</x:v>
      </x:c>
      <x:c r="P20" s="26" t="str">
        <x:v>SCALE_BATCH_01; official Turkey-market product/brochure applicability.</x:v>
      </x:c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PWR-000020</x:v>
      </x:c>
      <x:c r="B21" s="26" t="str">
        <x:v>GEN-000018</x:v>
      </x:c>
      <x:c r="C21" s="26" t="str">
        <x:v>1.5 e-HYBRID 272 PS DSG</x:v>
      </x:c>
      <x:c r="D21" s="26" t="str">
        <x:v>PETROL</x:v>
      </x:c>
      <x:c r="E21" s="26" t="str">
        <x:v>PHEV</x:v>
      </x:c>
      <x:c r="F21" s="26" t="n">
        <x:v>1498</x:v>
      </x:c>
      <x:c r="G21" s="26" t="n">
        <x:v>200</x:v>
      </x:c>
      <x:c r="H21" s="26" t="n">
        <x:v>272</x:v>
      </x:c>
      <x:c r="I21" s="26" t="str"/>
      <x:c r="J21" s="26" t="str">
        <x:v>DCT</x:v>
      </x:c>
      <x:c r="K21" s="26" t="n">
        <x:v>6</x:v>
      </x:c>
      <x:c r="L21" s="26" t="str">
        <x:v>FWD</x:v>
      </x:c>
      <x:c r="M21" s="26" t="str"/>
      <x:c r="N21" s="26" t="str">
        <x:v>VERIFIED</x:v>
      </x:c>
      <x:c r="O21" s="26" t="str">
        <x:v>1.5 e-HYBRID 272 PS DSG</x:v>
      </x:c>
      <x:c r="P21" s="26" t="str">
        <x:v>SCALE_BATCH_01; official Turkey-market product/brochure applicability.</x:v>
      </x:c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PWR-000021</x:v>
      </x:c>
      <x:c r="B22" s="26" t="str">
        <x:v>GEN-000019</x:v>
      </x:c>
      <x:c r="C22" s="26" t="str">
        <x:v>1.5 Turbo Hybrid+ 224 PS</x:v>
      </x:c>
      <x:c r="D22" s="26" t="str">
        <x:v>PETROL</x:v>
      </x:c>
      <x:c r="E22" s="26" t="str">
        <x:v>HEV</x:v>
      </x:c>
      <x:c r="F22" s="26" t="n">
        <x:v>1498</x:v>
      </x:c>
      <x:c r="G22" s="26" t="n">
        <x:v>165</x:v>
      </x:c>
      <x:c r="H22" s="26" t="n">
        <x:v>224</x:v>
      </x:c>
      <x:c r="I22" s="26" t="n">
        <x:v>340</x:v>
      </x:c>
      <x:c r="J22" s="26" t="str">
        <x:v>AUTOMATIC</x:v>
      </x:c>
      <x:c r="K22" s="26" t="str"/>
      <x:c r="L22" s="26" t="str">
        <x:v>FWD</x:v>
      </x:c>
      <x:c r="M22" s="26" t="str"/>
      <x:c r="N22" s="26" t="str">
        <x:v>VERIFIED</x:v>
      </x:c>
      <x:c r="O22" s="26" t="str">
        <x:v>1.5 Turbo Hybrid+ 224 PS</x:v>
      </x:c>
      <x:c r="P22" s="26" t="str">
        <x:v>SCALE_BATCH_01; official Turkey-market product/brochure applicability.</x:v>
      </x:c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PWR-000022</x:v>
      </x:c>
      <x:c r="B23" s="26" t="str">
        <x:v>GEN-000020</x:v>
      </x:c>
      <x:c r="C23" s="26" t="str">
        <x:v>60 61 kWh 140 kW</x:v>
      </x:c>
      <x:c r="D23" s="26" t="str">
        <x:v>ELECTRIC</x:v>
      </x:c>
      <x:c r="E23" s="26" t="str">
        <x:v>BEV</x:v>
      </x:c>
      <x:c r="F23" s="26" t="str"/>
      <x:c r="G23" s="26" t="n">
        <x:v>140</x:v>
      </x:c>
      <x:c r="H23" s="26" t="n">
        <x:v>190</x:v>
      </x:c>
      <x:c r="I23" s="26" t="n">
        <x:v>350</x:v>
      </x:c>
      <x:c r="J23" s="26" t="str">
        <x:v>SINGLE_SPEED</x:v>
      </x:c>
      <x:c r="K23" s="26" t="str"/>
      <x:c r="L23" s="26" t="str">
        <x:v>RWD</x:v>
      </x:c>
      <x:c r="M23" s="26" t="str"/>
      <x:c r="N23" s="26" t="str">
        <x:v>VERIFIED</x:v>
      </x:c>
      <x:c r="O23" s="26" t="str">
        <x:v>60 61 kWh 140 kW</x:v>
      </x:c>
      <x:c r="P23" s="26" t="str">
        <x:v>SCALE_BATCH_01; official Turkey-market product/brochure applicability.</x:v>
      </x:c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PWR-000023</x:v>
      </x:c>
      <x:c r="B24" s="26" t="str">
        <x:v>GEN-000021</x:v>
      </x:c>
      <x:c r="C24" s="26" t="str">
        <x:v>1.5 TSI mHEV 150 PS DSG</x:v>
      </x:c>
      <x:c r="D24" s="26" t="str">
        <x:v>PETROL</x:v>
      </x:c>
      <x:c r="E24" s="26" t="str">
        <x:v>MHEV</x:v>
      </x:c>
      <x:c r="F24" s="26" t="n">
        <x:v>1498</x:v>
      </x:c>
      <x:c r="G24" s="26" t="n">
        <x:v>110</x:v>
      </x:c>
      <x:c r="H24" s="26" t="n">
        <x:v>150</x:v>
      </x:c>
      <x:c r="I24" s="26" t="n">
        <x:v>250</x:v>
      </x:c>
      <x:c r="J24" s="26" t="str">
        <x:v>DCT</x:v>
      </x:c>
      <x:c r="K24" s="26" t="n">
        <x:v>7</x:v>
      </x:c>
      <x:c r="L24" s="26" t="str">
        <x:v>FWD</x:v>
      </x:c>
      <x:c r="M24" s="26" t="str"/>
      <x:c r="N24" s="26" t="str">
        <x:v>VERIFIED</x:v>
      </x:c>
      <x:c r="O24" s="26" t="str">
        <x:v>1.5 TSI mHEV 150 PS DSG</x:v>
      </x:c>
      <x:c r="P24" s="26" t="str">
        <x:v>SCALE_BATCH_01; official Turkey-market product/brochure applicability.</x:v>
      </x:c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PWR-000024</x:v>
      </x:c>
      <x:c r="B25" s="26" t="str">
        <x:v>GEN-000022</x:v>
      </x:c>
      <x:c r="C25" s="26" t="str">
        <x:v>2.0i e-BOXER Lineartronic AWD</x:v>
      </x:c>
      <x:c r="D25" s="26" t="str">
        <x:v>PETROL</x:v>
      </x:c>
      <x:c r="E25" s="26" t="str">
        <x:v>HEV</x:v>
      </x:c>
      <x:c r="F25" s="26" t="n">
        <x:v>1995</x:v>
      </x:c>
      <x:c r="G25" s="26" t="str"/>
      <x:c r="H25" s="26" t="n">
        <x:v>136</x:v>
      </x:c>
      <x:c r="I25" s="26" t="str"/>
      <x:c r="J25" s="26" t="str">
        <x:v>CVT</x:v>
      </x:c>
      <x:c r="K25" s="26" t="str"/>
      <x:c r="L25" s="26" t="str">
        <x:v>AWD</x:v>
      </x:c>
      <x:c r="M25" s="26" t="str"/>
      <x:c r="N25" s="26" t="str">
        <x:v>VERIFIED</x:v>
      </x:c>
      <x:c r="O25" s="26" t="str">
        <x:v>2.0i e-BOXER Lineartronic AWD</x:v>
      </x:c>
      <x:c r="P25" s="26" t="str">
        <x:v>POST_BATCH01_HARDENING: official Turkey technical sheet verifies 2.0i e-BOXER, 1995 cc, Lineartronic CVT and active-torque-distribution AWD (SRC-000042).</x:v>
      </x:c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PWR-000025</x:v>
      </x:c>
      <x:c r="B26" s="26" t="str">
        <x:v>GEN-000023</x:v>
      </x:c>
      <x:c r="C26" s="26" t="str">
        <x:v>1.0 TSI 115 PS DSG</x:v>
      </x:c>
      <x:c r="D26" s="26" t="str">
        <x:v>PETROL</x:v>
      </x:c>
      <x:c r="E26" s="26" t="str">
        <x:v>NONE</x:v>
      </x:c>
      <x:c r="F26" s="26" t="n">
        <x:v>999</x:v>
      </x:c>
      <x:c r="G26" s="26" t="n">
        <x:v>85</x:v>
      </x:c>
      <x:c r="H26" s="26" t="n">
        <x:v>115</x:v>
      </x:c>
      <x:c r="I26" s="26" t="n">
        <x:v>200</x:v>
      </x:c>
      <x:c r="J26" s="26" t="str">
        <x:v>DCT</x:v>
      </x:c>
      <x:c r="K26" s="26" t="n">
        <x:v>7</x:v>
      </x:c>
      <x:c r="L26" s="26" t="str">
        <x:v>FWD</x:v>
      </x:c>
      <x:c r="M26" s="26" t="str"/>
      <x:c r="N26" s="26" t="str">
        <x:v>VERIFIED</x:v>
      </x:c>
      <x:c r="O26" s="26" t="str">
        <x:v>1.0 TSI 115 PS DSG</x:v>
      </x:c>
      <x:c r="P26" s="26" t="str">
        <x:v>POST_BATCH01_HARDENING: official Turkey comparison/model pages verify 1.0 TSI 115 PS DSG, 999 cc, 85 kW and 200 Nm for Scala Premium (SRC-000038/040).</x:v>
      </x:c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5">
    <x:dataValidation type="list" sqref="D2:D500">
      <x:formula1>'12_LISTS'!$B$31:$B$37</x:formula1>
    </x:dataValidation>
    <x:dataValidation type="list" sqref="E2:E500">
      <x:formula1>'12_LISTS'!$B$38:$B$45</x:formula1>
    </x:dataValidation>
    <x:dataValidation type="list" sqref="J2:J500">
      <x:formula1>'12_LISTS'!$B$46:$B$53</x:formula1>
    </x:dataValidation>
    <x:dataValidation type="list" sqref="L2:L500">
      <x:formula1>'12_LISTS'!$B$54:$B$58</x:formula1>
    </x:dataValidation>
    <x:dataValidation type="list" sqref="N2:N500">
      <x:formula1>'12_LISTS'!$B$23:$B$25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9ca00b51dc4a0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0" hidden="0" customWidth="1"/>
    <x:col min="5" max="5" width="12" hidden="0" customWidth="1"/>
    <x:col min="6" max="6" width="24" hidden="0" customWidth="1"/>
    <x:col min="7" max="7" width="32" hidden="0" customWidth="1"/>
    <x:col min="8" max="8" width="20" hidden="0" customWidth="1"/>
    <x:col min="9" max="9" width="16" hidden="0" customWidth="1"/>
    <x:col min="10" max="10" width="16" hidden="0" customWidth="1"/>
    <x:col min="11" max="11" width="20" hidden="0" customWidth="1"/>
    <x:col min="12" max="12" width="28" hidden="0" customWidth="1"/>
    <x:col min="13" max="13" width="22" hidden="0" customWidth="1"/>
    <x:col min="14" max="14" width="36" hidden="0" customWidth="1"/>
  </x:cols>
  <x:sheetData>
    <x:row r="1">
      <x:c r="A1" s="6" t="str">
        <x:v>configuration_id</x:v>
      </x:c>
      <x:c r="B1" s="6" t="str">
        <x:v>generation_id</x:v>
      </x:c>
      <x:c r="C1" s="6" t="str">
        <x:v>powertrain_id</x:v>
      </x:c>
      <x:c r="D1" s="6" t="str">
        <x:v>market</x:v>
      </x:c>
      <x:c r="E1" s="6" t="str">
        <x:v>model_year</x:v>
      </x:c>
      <x:c r="F1" s="6" t="str">
        <x:v>trim_name</x:v>
      </x:c>
      <x:c r="G1" s="6" t="str">
        <x:v>official_configuration_name</x:v>
      </x:c>
      <x:c r="H1" s="6" t="str">
        <x:v>availability_status</x:v>
      </x:c>
      <x:c r="I1" s="6" t="str">
        <x:v>availability_from</x:v>
      </x:c>
      <x:c r="J1" s="6" t="str">
        <x:v>availability_to</x:v>
      </x:c>
      <x:c r="K1" s="6" t="str">
        <x:v>configuration_status</x:v>
      </x:c>
      <x:c r="L1" s="6" t="str">
        <x:v>legacy_trim_text</x:v>
      </x:c>
      <x:c r="M1" s="6" t="str">
        <x:v>legacy_source_id</x:v>
      </x:c>
      <x:c r="N1" s="6" t="str">
        <x:v>notes</x:v>
      </x:c>
    </x:row>
    <x:row r="2">
      <x:c r="A2" s="26" t="str">
        <x:v>CFG-000001</x:v>
      </x:c>
      <x:c r="B2" s="26" t="str">
        <x:v>GEN-000001</x:v>
      </x:c>
      <x:c r="C2" s="26" t="str">
        <x:v>PWR-000001</x:v>
      </x:c>
      <x:c r="D2" s="26" t="str">
        <x:v>TR</x:v>
      </x:c>
      <x:c r="E2" s="26" t="n">
        <x:v>2026</x:v>
      </x:c>
      <x:c r="F2" s="26" t="str">
        <x:v>evolution plus</x:v>
      </x:c>
      <x:c r="G2" s="26" t="str">
        <x:v>Yeni Renault Clio evolution plus TCe EDC 115 hp</x:v>
      </x:c>
      <x:c r="H2" s="26" t="str">
        <x:v>CURRENT</x:v>
      </x:c>
      <x:c r="I2" s="36" t="str"/>
      <x:c r="J2" s="36" t="str"/>
      <x:c r="K2" s="26" t="str">
        <x:v>PROVISIONAL</x:v>
      </x:c>
      <x:c r="L2" s="26" t="str">
        <x:v>evolution plus</x:v>
      </x:c>
      <x:c r="M2" s="26" t="str">
        <x:v>PILOT-01</x:v>
      </x:c>
      <x:c r="N2" s="26" t="str">
        <x:v>Official Renault technical/configurator page. Downgraded: generation identity remains PROVISIONAL; re-verify before promotion.</x:v>
      </x:c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CFG-000002</x:v>
      </x:c>
      <x:c r="B3" s="26" t="str">
        <x:v>GEN-000002</x:v>
      </x:c>
      <x:c r="C3" s="26" t="str">
        <x:v>PWR-000002</x:v>
      </x:c>
      <x:c r="D3" s="26" t="str">
        <x:v>TR</x:v>
      </x:c>
      <x:c r="E3" s="26" t="n">
        <x:v>2026</x:v>
      </x:c>
      <x:c r="F3" s="26" t="str">
        <x:v>Easy</x:v>
      </x:c>
      <x:c r="G3" s="26" t="str">
        <x:v>Egea Sedan Easy 1.6 M.Jet 130 HP 6MT</x:v>
      </x:c>
      <x:c r="H3" s="26" t="str">
        <x:v>CURRENT</x:v>
      </x:c>
      <x:c r="I3" s="36" t="str"/>
      <x:c r="J3" s="36" t="str"/>
      <x:c r="K3" s="26" t="str">
        <x:v>PROVISIONAL</x:v>
      </x:c>
      <x:c r="L3" s="26" t="str">
        <x:v>Easy</x:v>
      </x:c>
      <x:c r="M3" s="26" t="str">
        <x:v>PILOT-02</x:v>
      </x:c>
      <x:c r="N3" s="26" t="str">
        <x:v>Resolved from current 2026 Fiat price list + official model technical page. Downgraded: generation identity remains PROVISIONAL; re-verify before promotion.</x:v>
      </x:c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CFG-000003</x:v>
      </x:c>
      <x:c r="B4" s="26" t="str">
        <x:v>GEN-000003</x:v>
      </x:c>
      <x:c r="C4" s="26" t="str">
        <x:v>PWR-000003</x:v>
      </x:c>
      <x:c r="D4" s="26" t="str">
        <x:v>TR</x:v>
      </x:c>
      <x:c r="E4" s="26" t="n">
        <x:v>2026</x:v>
      </x:c>
      <x:c r="F4" s="26" t="str">
        <x:v>Dream</x:v>
      </x:c>
      <x:c r="G4" s="26" t="str">
        <x:v>Corolla 1.8 Hybrid Dream e-CVT</x:v>
      </x:c>
      <x:c r="H4" s="26" t="str">
        <x:v>CURRENT</x:v>
      </x:c>
      <x:c r="I4" s="36" t="str"/>
      <x:c r="J4" s="36" t="str"/>
      <x:c r="K4" s="26" t="str">
        <x:v>PROVISIONAL</x:v>
      </x:c>
      <x:c r="L4" s="26" t="str">
        <x:v>Dream</x:v>
      </x:c>
      <x:c r="M4" s="26" t="str">
        <x:v>PILOT-03</x:v>
      </x:c>
      <x:c r="N4" s="26" t="str">
        <x:v>Current official price list + Jan 2026 technical brochure. Downgraded: generation identity remains PROVISIONAL; re-verify before promotion.</x:v>
      </x:c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CFG-000004</x:v>
      </x:c>
      <x:c r="B5" s="26" t="str">
        <x:v>GEN-000004</x:v>
      </x:c>
      <x:c r="C5" s="26" t="str">
        <x:v>PWR-000004</x:v>
      </x:c>
      <x:c r="D5" s="26" t="str">
        <x:v>TR</x:v>
      </x:c>
      <x:c r="E5" s="26" t="n">
        <x:v>2026</x:v>
      </x:c>
      <x:c r="F5" s="26" t="str">
        <x:v>GL Elegance</x:v>
      </x:c>
      <x:c r="G5" s="26" t="str">
        <x:v>Vitara 1.4 MHEV 6AT AllGrip 4x4 GL Elegance</x:v>
      </x:c>
      <x:c r="H5" s="26" t="str">
        <x:v>CURRENT</x:v>
      </x:c>
      <x:c r="I5" s="36" t="str"/>
      <x:c r="J5" s="36" t="str"/>
      <x:c r="K5" s="26" t="str">
        <x:v>PROVISIONAL</x:v>
      </x:c>
      <x:c r="L5" s="26" t="str">
        <x:v>GL Elegance</x:v>
      </x:c>
      <x:c r="M5" s="26" t="str">
        <x:v>PILOT-04</x:v>
      </x:c>
      <x:c r="N5" s="26" t="str">
        <x:v>Official Suzuki 2026 price list + technical page. Downgraded: generation identity remains PROVISIONAL; re-verify before promotion.</x:v>
      </x:c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CFG-000005</x:v>
      </x:c>
      <x:c r="B6" s="26" t="str">
        <x:v>GEN-000005</x:v>
      </x:c>
      <x:c r="C6" s="26" t="str">
        <x:v>PWR-000005</x:v>
      </x:c>
      <x:c r="D6" s="26" t="str">
        <x:v>TR</x:v>
      </x:c>
      <x:c r="E6" s="26" t="n">
        <x:v>2026</x:v>
      </x:c>
      <x:c r="F6" s="26" t="str">
        <x:v>Design</x:v>
      </x:c>
      <x:c r="G6" s="26" t="str">
        <x:v>BYD SEAL U DM-i 1.5L Design</x:v>
      </x:c>
      <x:c r="H6" s="26" t="str">
        <x:v>CURRENT</x:v>
      </x:c>
      <x:c r="I6" s="36" t="str"/>
      <x:c r="J6" s="36" t="str"/>
      <x:c r="K6" s="26" t="str">
        <x:v>PROVISIONAL</x:v>
      </x:c>
      <x:c r="L6" s="26" t="str">
        <x:v>Design</x:v>
      </x:c>
      <x:c r="M6" s="26" t="str">
        <x:v>PILOT-05</x:v>
      </x:c>
      <x:c r="N6" s="26" t="str">
        <x:v>Official BYD Türkiye product page + Mar 2026 technical brochure. Downgraded: generation identity remains PROVISIONAL; re-verify before promotion.</x:v>
      </x:c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CFG-000006</x:v>
      </x:c>
      <x:c r="B7" s="26" t="str">
        <x:v>GEN-000006</x:v>
      </x:c>
      <x:c r="C7" s="26" t="str">
        <x:v>PWR-000006</x:v>
      </x:c>
      <x:c r="D7" s="26" t="str">
        <x:v>TR</x:v>
      </x:c>
      <x:c r="E7" s="26" t="n">
        <x:v>2026</x:v>
      </x:c>
      <x:c r="F7" s="26" t="str">
        <x:v>Prestige</x:v>
      </x:c>
      <x:c r="G7" s="26" t="str">
        <x:v>Kia EV3 Electric Prestige</x:v>
      </x:c>
      <x:c r="H7" s="26" t="str">
        <x:v>CURRENT</x:v>
      </x:c>
      <x:c r="I7" s="36" t="str"/>
      <x:c r="J7" s="36" t="str"/>
      <x:c r="K7" s="26" t="str">
        <x:v>PROVISIONAL</x:v>
      </x:c>
      <x:c r="L7" s="26" t="str">
        <x:v>Prestige</x:v>
      </x:c>
      <x:c r="M7" s="26" t="str">
        <x:v>PILOT-06</x:v>
      </x:c>
      <x:c r="N7" s="26" t="str">
        <x:v>Official Kia Türkiye 2026 price list + EV3 technical page. Downgraded: generation identity remains PROVISIONAL; re-verify before promotion.</x:v>
      </x:c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CFG-000007</x:v>
      </x:c>
      <x:c r="B8" s="26" t="str">
        <x:v>GEN-000007</x:v>
      </x:c>
      <x:c r="C8" s="26" t="str">
        <x:v>PWR-000007</x:v>
      </x:c>
      <x:c r="D8" s="26" t="str">
        <x:v>TR</x:v>
      </x:c>
      <x:c r="E8" s="26" t="n">
        <x:v>2026</x:v>
      </x:c>
      <x:c r="F8" s="26" t="str">
        <x:v>V2</x:v>
      </x:c>
      <x:c r="G8" s="26" t="str">
        <x:v>Togg T10X V2 RWD Uzun Menzil</x:v>
      </x:c>
      <x:c r="H8" s="26" t="str">
        <x:v>CURRENT</x:v>
      </x:c>
      <x:c r="I8" s="36" t="str"/>
      <x:c r="J8" s="36" t="str"/>
      <x:c r="K8" s="26" t="str">
        <x:v>PROVISIONAL</x:v>
      </x:c>
      <x:c r="L8" s="26" t="str">
        <x:v>V2 RWD Uzun Menzil</x:v>
      </x:c>
      <x:c r="M8" s="26" t="str">
        <x:v>PILOT-07</x:v>
      </x:c>
      <x:c r="N8" s="26" t="str">
        <x:v>Current official Togg price list effective 2026-06-15. Downgraded: generation identity remains PROVISIONAL; re-verify before promotion.</x:v>
      </x:c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CFG-000008</x:v>
      </x:c>
      <x:c r="B9" s="26" t="str">
        <x:v>GEN-000008</x:v>
      </x:c>
      <x:c r="C9" s="26" t="str">
        <x:v>PWR-000008</x:v>
      </x:c>
      <x:c r="D9" s="26" t="str">
        <x:v>TR</x:v>
      </x:c>
      <x:c r="E9" s="26" t="n">
        <x:v>2026</x:v>
      </x:c>
      <x:c r="F9" s="26" t="str">
        <x:v>Expression</x:v>
      </x:c>
      <x:c r="G9" s="26" t="str">
        <x:v>Yeni Sandero Stepway Expression Eco-G 120 auto</x:v>
      </x:c>
      <x:c r="H9" s="26" t="str">
        <x:v>CURRENT</x:v>
      </x:c>
      <x:c r="I9" s="36" t="str"/>
      <x:c r="J9" s="36" t="str"/>
      <x:c r="K9" s="26" t="str">
        <x:v>PROVISIONAL</x:v>
      </x:c>
      <x:c r="L9" s="26" t="str">
        <x:v>Expression</x:v>
      </x:c>
      <x:c r="M9" s="26" t="str">
        <x:v>PILOT-08</x:v>
      </x:c>
      <x:c r="N9" s="26" t="str">
        <x:v>Official Dacia Türkiye version/configurator page. Downgraded: generation identity remains PROVISIONAL; re-verify before promotion.</x:v>
      </x:c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CFG-000009</x:v>
      </x:c>
      <x:c r="B10" s="26" t="str">
        <x:v>GEN-000009</x:v>
      </x:c>
      <x:c r="C10" s="26" t="str">
        <x:v>PWR-000009</x:v>
      </x:c>
      <x:c r="D10" s="26" t="str">
        <x:v>TR</x:v>
      </x:c>
      <x:c r="E10" s="26" t="n">
        <x:v>2026</x:v>
      </x:c>
      <x:c r="F10" s="26" t="str">
        <x:v>Jump</x:v>
      </x:c>
      <x:c r="G10" s="26" t="str">
        <x:v>i20 Jump 1.0 T-GDI 90 PS 7DCT</x:v>
      </x:c>
      <x:c r="H10" s="26" t="str">
        <x:v>CURRENT</x:v>
      </x:c>
      <x:c r="I10" s="36" t="str"/>
      <x:c r="J10" s="36" t="str"/>
      <x:c r="K10" s="26" t="str">
        <x:v>VERIFIED</x:v>
      </x:c>
      <x:c r="L10" s="26" t="str">
        <x:v>Jump</x:v>
      </x:c>
      <x:c r="M10" s="26" t="str">
        <x:v>SCALE_BATCH_01</x:v>
      </x:c>
      <x:c r="N10" s="26" t="str">
        <x:v>Exact Turkey configuration observed in official model/trim material.</x:v>
      </x:c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CFG-000010</x:v>
      </x:c>
      <x:c r="B11" s="26" t="str">
        <x:v>GEN-000009</x:v>
      </x:c>
      <x:c r="C11" s="26" t="str">
        <x:v>PWR-000009</x:v>
      </x:c>
      <x:c r="D11" s="26" t="str">
        <x:v>TR</x:v>
      </x:c>
      <x:c r="E11" s="26" t="n">
        <x:v>2026</x:v>
      </x:c>
      <x:c r="F11" s="26" t="str">
        <x:v>Style</x:v>
      </x:c>
      <x:c r="G11" s="26" t="str">
        <x:v>i20 Style 1.0 T-GDI 90 PS 7DCT</x:v>
      </x:c>
      <x:c r="H11" s="26" t="str">
        <x:v>CURRENT</x:v>
      </x:c>
      <x:c r="I11" s="36" t="str"/>
      <x:c r="J11" s="36" t="str"/>
      <x:c r="K11" s="26" t="str">
        <x:v>VERIFIED</x:v>
      </x:c>
      <x:c r="L11" s="26" t="str">
        <x:v>Style</x:v>
      </x:c>
      <x:c r="M11" s="26" t="str">
        <x:v>SCALE_BATCH_01</x:v>
      </x:c>
      <x:c r="N11" s="26" t="str">
        <x:v>Exact Turkey configuration observed in official model/trim material.</x:v>
      </x:c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CFG-000011</x:v>
      </x:c>
      <x:c r="B12" s="26" t="str">
        <x:v>GEN-000009</x:v>
      </x:c>
      <x:c r="C12" s="26" t="str">
        <x:v>PWR-000009</x:v>
      </x:c>
      <x:c r="D12" s="26" t="str">
        <x:v>TR</x:v>
      </x:c>
      <x:c r="E12" s="26" t="n">
        <x:v>2026</x:v>
      </x:c>
      <x:c r="F12" s="26" t="str">
        <x:v>Elite</x:v>
      </x:c>
      <x:c r="G12" s="26" t="str">
        <x:v>i20 Elite 1.0 T-GDI 90 PS 7DCT</x:v>
      </x:c>
      <x:c r="H12" s="26" t="str">
        <x:v>CURRENT</x:v>
      </x:c>
      <x:c r="I12" s="36" t="str"/>
      <x:c r="J12" s="36" t="str"/>
      <x:c r="K12" s="26" t="str">
        <x:v>VERIFIED</x:v>
      </x:c>
      <x:c r="L12" s="26" t="str">
        <x:v>Elite</x:v>
      </x:c>
      <x:c r="M12" s="26" t="str">
        <x:v>SCALE_BATCH_01</x:v>
      </x:c>
      <x:c r="N12" s="26" t="str">
        <x:v>Exact Turkey configuration observed in official model/trim material.</x:v>
      </x:c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CFG-000012</x:v>
      </x:c>
      <x:c r="B13" s="26" t="str">
        <x:v>GEN-000010</x:v>
      </x:c>
      <x:c r="C13" s="26" t="str">
        <x:v>PWR-000010</x:v>
      </x:c>
      <x:c r="D13" s="26" t="str">
        <x:v>TR</x:v>
      </x:c>
      <x:c r="E13" s="26" t="n">
        <x:v>2026</x:v>
      </x:c>
      <x:c r="F13" s="26" t="str">
        <x:v>Elegance+</x:v>
      </x:c>
      <x:c r="G13" s="26" t="str">
        <x:v>Civic Elegance+ 1.5L VTEC Turbo ECO LPG CVT</x:v>
      </x:c>
      <x:c r="H13" s="26" t="str">
        <x:v>CURRENT</x:v>
      </x:c>
      <x:c r="I13" s="36" t="str"/>
      <x:c r="J13" s="36" t="str"/>
      <x:c r="K13" s="26" t="str">
        <x:v>VERIFIED</x:v>
      </x:c>
      <x:c r="L13" s="26" t="str">
        <x:v>Elegance+</x:v>
      </x:c>
      <x:c r="M13" s="26" t="str">
        <x:v>SCALE_BATCH_01</x:v>
      </x:c>
      <x:c r="N13" s="26" t="str">
        <x:v>Exact Turkey configuration observed in official model/trim material.</x:v>
      </x:c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CFG-000013</x:v>
      </x:c>
      <x:c r="B14" s="26" t="str">
        <x:v>GEN-000010</x:v>
      </x:c>
      <x:c r="C14" s="26" t="str">
        <x:v>PWR-000010</x:v>
      </x:c>
      <x:c r="D14" s="26" t="str">
        <x:v>TR</x:v>
      </x:c>
      <x:c r="E14" s="26" t="n">
        <x:v>2026</x:v>
      </x:c>
      <x:c r="F14" s="26" t="str">
        <x:v>Executive+</x:v>
      </x:c>
      <x:c r="G14" s="26" t="str">
        <x:v>Civic Executive+ 1.5L VTEC Turbo ECO LPG CVT</x:v>
      </x:c>
      <x:c r="H14" s="26" t="str">
        <x:v>CURRENT</x:v>
      </x:c>
      <x:c r="I14" s="36" t="str"/>
      <x:c r="J14" s="36" t="str"/>
      <x:c r="K14" s="26" t="str">
        <x:v>VERIFIED</x:v>
      </x:c>
      <x:c r="L14" s="26" t="str">
        <x:v>Executive+</x:v>
      </x:c>
      <x:c r="M14" s="26" t="str">
        <x:v>SCALE_BATCH_01</x:v>
      </x:c>
      <x:c r="N14" s="26" t="str">
        <x:v>Exact Turkey configuration observed in official model/trim material.</x:v>
      </x:c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CFG-000014</x:v>
      </x:c>
      <x:c r="B15" s="26" t="str">
        <x:v>GEN-000011</x:v>
      </x:c>
      <x:c r="C15" s="26" t="str">
        <x:v>PWR-000011</x:v>
      </x:c>
      <x:c r="D15" s="26" t="str">
        <x:v>TR</x:v>
      </x:c>
      <x:c r="E15" s="26" t="n">
        <x:v>2026</x:v>
      </x:c>
      <x:c r="F15" s="26" t="str">
        <x:v>N-Connecta</x:v>
      </x:c>
      <x:c r="G15" s="26" t="str">
        <x:v>Qashqai N-Connecta 1.3 DIG-T Mild Hybrid X-Tronic</x:v>
      </x:c>
      <x:c r="H15" s="26" t="str">
        <x:v>CURRENT</x:v>
      </x:c>
      <x:c r="I15" s="36" t="str"/>
      <x:c r="J15" s="36" t="str"/>
      <x:c r="K15" s="26" t="str">
        <x:v>VERIFIED</x:v>
      </x:c>
      <x:c r="L15" s="26" t="str">
        <x:v>N-Connecta</x:v>
      </x:c>
      <x:c r="M15" s="26" t="str">
        <x:v>SCALE_BATCH_01</x:v>
      </x:c>
      <x:c r="N15" s="26" t="str">
        <x:v>Exact Turkey configuration observed in official model/trim material.</x:v>
      </x:c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CFG-000015</x:v>
      </x:c>
      <x:c r="B16" s="26" t="str">
        <x:v>GEN-000011</x:v>
      </x:c>
      <x:c r="C16" s="26" t="str">
        <x:v>PWR-000012</x:v>
      </x:c>
      <x:c r="D16" s="26" t="str">
        <x:v>TR</x:v>
      </x:c>
      <x:c r="E16" s="26" t="n">
        <x:v>2026</x:v>
      </x:c>
      <x:c r="F16" s="26" t="str">
        <x:v>Skypack</x:v>
      </x:c>
      <x:c r="G16" s="26" t="str">
        <x:v>Qashqai Skypack e-POWER 190</x:v>
      </x:c>
      <x:c r="H16" s="26" t="str">
        <x:v>CURRENT</x:v>
      </x:c>
      <x:c r="I16" s="36" t="str"/>
      <x:c r="J16" s="36" t="str"/>
      <x:c r="K16" s="26" t="str">
        <x:v>VERIFIED</x:v>
      </x:c>
      <x:c r="L16" s="26" t="str">
        <x:v>Skypack</x:v>
      </x:c>
      <x:c r="M16" s="26" t="str">
        <x:v>SCALE_BATCH_01</x:v>
      </x:c>
      <x:c r="N16" s="26" t="str">
        <x:v>Exact Turkey configuration observed in official model/trim material.</x:v>
      </x:c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CFG-000016</x:v>
      </x:c>
      <x:c r="B17" s="26" t="str">
        <x:v>GEN-000012</x:v>
      </x:c>
      <x:c r="C17" s="26" t="str">
        <x:v>PWR-000013</x:v>
      </x:c>
      <x:c r="D17" s="26" t="str">
        <x:v>TR</x:v>
      </x:c>
      <x:c r="E17" s="26" t="n">
        <x:v>2026</x:v>
      </x:c>
      <x:c r="F17" s="26" t="str">
        <x:v>Combi Sportline</x:v>
      </x:c>
      <x:c r="G17" s="26" t="str">
        <x:v>Octavia Combi Combi Sportline 1.5 TSI mHEV 150 PS DSG</x:v>
      </x:c>
      <x:c r="H17" s="26" t="str">
        <x:v>CURRENT</x:v>
      </x:c>
      <x:c r="I17" s="36" t="str"/>
      <x:c r="J17" s="36" t="str"/>
      <x:c r="K17" s="26" t="str">
        <x:v>VERIFIED</x:v>
      </x:c>
      <x:c r="L17" s="26" t="str">
        <x:v>Combi Sportline</x:v>
      </x:c>
      <x:c r="M17" s="26" t="str">
        <x:v>SCALE_BATCH_01</x:v>
      </x:c>
      <x:c r="N17" s="26" t="str">
        <x:v>Exact Turkey configuration observed in official model/trim material.</x:v>
      </x:c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CFG-000017</x:v>
      </x:c>
      <x:c r="B18" s="26" t="str">
        <x:v>GEN-000013</x:v>
      </x:c>
      <x:c r="C18" s="26" t="str">
        <x:v>PWR-000014</x:v>
      </x:c>
      <x:c r="D18" s="26" t="str">
        <x:v>TR</x:v>
      </x:c>
      <x:c r="E18" s="26" t="n">
        <x:v>2026</x:v>
      </x:c>
      <x:c r="F18" s="26" t="str">
        <x:v>Extreme</x:v>
      </x:c>
      <x:c r="G18" s="26" t="str">
        <x:v>Jogger Extreme Eco-G 120 auto</x:v>
      </x:c>
      <x:c r="H18" s="26" t="str">
        <x:v>CURRENT</x:v>
      </x:c>
      <x:c r="I18" s="36" t="str"/>
      <x:c r="J18" s="36" t="str"/>
      <x:c r="K18" s="26" t="str">
        <x:v>PROVISIONAL</x:v>
      </x:c>
      <x:c r="L18" s="26" t="str">
        <x:v>Extreme</x:v>
      </x:c>
      <x:c r="M18" s="26" t="str">
        <x:v>SCALE_BATCH_01</x:v>
      </x:c>
      <x:c r="N18" s="26" t="str">
        <x:v>POST_BATCH01_HARDENING attempted with official comparison/configurator (SRC-000030/041). Extreme and Eco-G 120 auto appear as current choices, but rendered selected state defaults to TCe 110 and no exact 2026 MY linkage was captured; remains PROVISIONAL.</x:v>
      </x:c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CFG-000018</x:v>
      </x:c>
      <x:c r="B19" s="26" t="str">
        <x:v>GEN-000014</x:v>
      </x:c>
      <x:c r="C19" s="26" t="str">
        <x:v>PWR-000015</x:v>
      </x:c>
      <x:c r="D19" s="26" t="str">
        <x:v>TR</x:v>
      </x:c>
      <x:c r="E19" s="26" t="n">
        <x:v>2026</x:v>
      </x:c>
      <x:c r="F19" s="26" t="str">
        <x:v>techno esprit Alpine</x:v>
      </x:c>
      <x:c r="G19" s="26" t="str">
        <x:v>Austral techno esprit Alpine full hybrid E-Tech 200 hp</x:v>
      </x:c>
      <x:c r="H19" s="26" t="str">
        <x:v>CURRENT</x:v>
      </x:c>
      <x:c r="I19" s="36" t="str"/>
      <x:c r="J19" s="36" t="str"/>
      <x:c r="K19" s="26" t="str">
        <x:v>VERIFIED</x:v>
      </x:c>
      <x:c r="L19" s="26" t="str">
        <x:v>techno esprit Alpine</x:v>
      </x:c>
      <x:c r="M19" s="26" t="str">
        <x:v>SCALE_BATCH_01</x:v>
      </x:c>
      <x:c r="N19" s="26" t="str">
        <x:v>Exact Turkey configuration observed in official model/trim material.</x:v>
      </x:c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CFG-000019</x:v>
      </x:c>
      <x:c r="B20" s="26" t="str">
        <x:v>GEN-000015</x:v>
      </x:c>
      <x:c r="C20" s="26" t="str">
        <x:v>PWR-000016</x:v>
      </x:c>
      <x:c r="D20" s="26" t="str">
        <x:v>TR</x:v>
      </x:c>
      <x:c r="E20" s="26" t="n">
        <x:v>2026</x:v>
      </x:c>
      <x:c r="F20" s="26" t="str">
        <x:v>Hybrid Flame</x:v>
      </x:c>
      <x:c r="G20" s="26" t="str">
        <x:v>C-HR Hybrid Flame 1.8 Hybrid 140 e-CVT</x:v>
      </x:c>
      <x:c r="H20" s="26" t="str">
        <x:v>CURRENT</x:v>
      </x:c>
      <x:c r="I20" s="36" t="str"/>
      <x:c r="J20" s="36" t="str"/>
      <x:c r="K20" s="26" t="str">
        <x:v>VERIFIED</x:v>
      </x:c>
      <x:c r="L20" s="26" t="str">
        <x:v>Hybrid Flame</x:v>
      </x:c>
      <x:c r="M20" s="26" t="str">
        <x:v>SCALE_BATCH_01</x:v>
      </x:c>
      <x:c r="N20" s="26" t="str">
        <x:v>Exact Turkey configuration observed in official model/trim material.</x:v>
      </x:c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CFG-000020</x:v>
      </x:c>
      <x:c r="B21" s="26" t="str">
        <x:v>GEN-000015</x:v>
      </x:c>
      <x:c r="C21" s="26" t="str">
        <x:v>PWR-000016</x:v>
      </x:c>
      <x:c r="D21" s="26" t="str">
        <x:v>TR</x:v>
      </x:c>
      <x:c r="E21" s="26" t="n">
        <x:v>2026</x:v>
      </x:c>
      <x:c r="F21" s="26" t="str">
        <x:v>Hybrid Passion</x:v>
      </x:c>
      <x:c r="G21" s="26" t="str">
        <x:v>C-HR Hybrid Passion 1.8 Hybrid 140 e-CVT</x:v>
      </x:c>
      <x:c r="H21" s="26" t="str">
        <x:v>CURRENT</x:v>
      </x:c>
      <x:c r="I21" s="36" t="str"/>
      <x:c r="J21" s="36" t="str"/>
      <x:c r="K21" s="26" t="str">
        <x:v>VERIFIED</x:v>
      </x:c>
      <x:c r="L21" s="26" t="str">
        <x:v>Hybrid Passion</x:v>
      </x:c>
      <x:c r="M21" s="26" t="str">
        <x:v>SCALE_BATCH_01</x:v>
      </x:c>
      <x:c r="N21" s="26" t="str">
        <x:v>Exact Turkey configuration observed in official model/trim material.</x:v>
      </x:c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CFG-000021</x:v>
      </x:c>
      <x:c r="B22" s="26" t="str">
        <x:v>GEN-000016</x:v>
      </x:c>
      <x:c r="C22" s="26" t="str">
        <x:v>PWR-000017</x:v>
      </x:c>
      <x:c r="D22" s="26" t="str">
        <x:v>TR</x:v>
      </x:c>
      <x:c r="E22" s="26" t="n">
        <x:v>2026</x:v>
      </x:c>
      <x:c r="F22" s="26" t="str">
        <x:v>Crosstar</x:v>
      </x:c>
      <x:c r="G22" s="26" t="str">
        <x:v>Jazz e:HEV Crosstar 1.5L Hybrid e-CVT</x:v>
      </x:c>
      <x:c r="H22" s="26" t="str">
        <x:v>CURRENT</x:v>
      </x:c>
      <x:c r="I22" s="36" t="str"/>
      <x:c r="J22" s="36" t="str"/>
      <x:c r="K22" s="26" t="str">
        <x:v>VERIFIED</x:v>
      </x:c>
      <x:c r="L22" s="26" t="str">
        <x:v>Crosstar</x:v>
      </x:c>
      <x:c r="M22" s="26" t="str">
        <x:v>SCALE_BATCH_01</x:v>
      </x:c>
      <x:c r="N22" s="26" t="str">
        <x:v>Exact Turkey configuration observed in official model/trim material.</x:v>
      </x:c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CFG-000022</x:v>
      </x:c>
      <x:c r="B23" s="26" t="str">
        <x:v>GEN-000017</x:v>
      </x:c>
      <x:c r="C23" s="26" t="str">
        <x:v>PWR-000018</x:v>
      </x:c>
      <x:c r="D23" s="26" t="str">
        <x:v>TR</x:v>
      </x:c>
      <x:c r="E23" s="26" t="n">
        <x:v>2026</x:v>
      </x:c>
      <x:c r="F23" s="26" t="str">
        <x:v>Xclusive</x:v>
      </x:c>
      <x:c r="G23" s="26" t="str">
        <x:v>Crosstrek Xclusive 2.0i e-BOXER Lineartronic AWD</x:v>
      </x:c>
      <x:c r="H23" s="26" t="str">
        <x:v>CURRENT</x:v>
      </x:c>
      <x:c r="I23" s="36" t="str"/>
      <x:c r="J23" s="36" t="str"/>
      <x:c r="K23" s="26" t="str">
        <x:v>VERIFIED</x:v>
      </x:c>
      <x:c r="L23" s="26" t="str">
        <x:v>Xclusive</x:v>
      </x:c>
      <x:c r="M23" s="26" t="str">
        <x:v>SCALE_BATCH_01</x:v>
      </x:c>
      <x:c r="N23" s="26" t="str">
        <x:v>Exact Turkey configuration observed in official model/trim material.</x:v>
      </x:c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CFG-000023</x:v>
      </x:c>
      <x:c r="B24" s="26" t="str">
        <x:v>GEN-000018</x:v>
      </x:c>
      <x:c r="C24" s="26" t="str">
        <x:v>PWR-000019</x:v>
      </x:c>
      <x:c r="D24" s="26" t="str">
        <x:v>TR</x:v>
      </x:c>
      <x:c r="E24" s="26" t="n">
        <x:v>2026</x:v>
      </x:c>
      <x:c r="F24" s="26" t="str">
        <x:v>Impulse</x:v>
      </x:c>
      <x:c r="G24" s="26" t="str">
        <x:v>Formentor Impulse 1.5 eTSI 150 PS DSG mHEV</x:v>
      </x:c>
      <x:c r="H24" s="26" t="str">
        <x:v>CURRENT</x:v>
      </x:c>
      <x:c r="I24" s="36" t="str"/>
      <x:c r="J24" s="36" t="str"/>
      <x:c r="K24" s="26" t="str">
        <x:v>VERIFIED</x:v>
      </x:c>
      <x:c r="L24" s="26" t="str">
        <x:v>Impulse</x:v>
      </x:c>
      <x:c r="M24" s="26" t="str">
        <x:v>SCALE_BATCH_01</x:v>
      </x:c>
      <x:c r="N24" s="26" t="str">
        <x:v>Exact Turkey configuration observed in official model/trim material.</x:v>
      </x:c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CFG-000024</x:v>
      </x:c>
      <x:c r="B25" s="26" t="str">
        <x:v>GEN-000018</x:v>
      </x:c>
      <x:c r="C25" s="26" t="str">
        <x:v>PWR-000020</x:v>
      </x:c>
      <x:c r="D25" s="26" t="str">
        <x:v>TR</x:v>
      </x:c>
      <x:c r="E25" s="26" t="n">
        <x:v>2026</x:v>
      </x:c>
      <x:c r="F25" s="26" t="str">
        <x:v>VZ</x:v>
      </x:c>
      <x:c r="G25" s="26" t="str">
        <x:v>Formentor VZ 1.5 e-HYBRID 272 PS DSG</x:v>
      </x:c>
      <x:c r="H25" s="26" t="str">
        <x:v>CURRENT</x:v>
      </x:c>
      <x:c r="I25" s="36" t="str"/>
      <x:c r="J25" s="36" t="str"/>
      <x:c r="K25" s="26" t="str">
        <x:v>VERIFIED</x:v>
      </x:c>
      <x:c r="L25" s="26" t="str">
        <x:v>VZ</x:v>
      </x:c>
      <x:c r="M25" s="26" t="str">
        <x:v>SCALE_BATCH_01</x:v>
      </x:c>
      <x:c r="N25" s="26" t="str">
        <x:v>Exact Turkey configuration observed in official model/trim material.</x:v>
      </x:c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CFG-000025</x:v>
      </x:c>
      <x:c r="B26" s="26" t="str">
        <x:v>GEN-000019</x:v>
      </x:c>
      <x:c r="C26" s="26" t="str">
        <x:v>PWR-000021</x:v>
      </x:c>
      <x:c r="D26" s="26" t="str">
        <x:v>TR</x:v>
      </x:c>
      <x:c r="E26" s="26" t="n">
        <x:v>2026</x:v>
      </x:c>
      <x:c r="F26" s="26" t="str">
        <x:v>Luxury</x:v>
      </x:c>
      <x:c r="G26" s="26" t="str">
        <x:v>HS Hybrid+ Luxury 1.5 Turbo Hybrid+ 224 PS</x:v>
      </x:c>
      <x:c r="H26" s="26" t="str">
        <x:v>CURRENT</x:v>
      </x:c>
      <x:c r="I26" s="36" t="str"/>
      <x:c r="J26" s="36" t="str"/>
      <x:c r="K26" s="26" t="str">
        <x:v>VERIFIED</x:v>
      </x:c>
      <x:c r="L26" s="26" t="str">
        <x:v>Luxury</x:v>
      </x:c>
      <x:c r="M26" s="26" t="str">
        <x:v>SCALE_BATCH_01</x:v>
      </x:c>
      <x:c r="N26" s="26" t="str">
        <x:v>Exact Turkey configuration observed in official model/trim material.</x:v>
      </x:c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CFG-000026</x:v>
      </x:c>
      <x:c r="B27" s="26" t="str">
        <x:v>GEN-000020</x:v>
      </x:c>
      <x:c r="C27" s="26" t="str">
        <x:v>PWR-000022</x:v>
      </x:c>
      <x:c r="D27" s="26" t="str">
        <x:v>TR</x:v>
      </x:c>
      <x:c r="E27" s="26" t="n">
        <x:v>2026</x:v>
      </x:c>
      <x:c r="F27" s="26" t="str">
        <x:v>e-Prestige 60</x:v>
      </x:c>
      <x:c r="G27" s="26" t="str">
        <x:v>Elroq e-Prestige 60 60 61 kWh 140 kW</x:v>
      </x:c>
      <x:c r="H27" s="26" t="str">
        <x:v>CURRENT</x:v>
      </x:c>
      <x:c r="I27" s="36" t="str"/>
      <x:c r="J27" s="36" t="str"/>
      <x:c r="K27" s="26" t="str">
        <x:v>VERIFIED</x:v>
      </x:c>
      <x:c r="L27" s="26" t="str">
        <x:v>e-Prestige 60</x:v>
      </x:c>
      <x:c r="M27" s="26" t="str">
        <x:v>SCALE_BATCH_01</x:v>
      </x:c>
      <x:c r="N27" s="26" t="str">
        <x:v>Exact Turkey configuration observed in official model/trim material.</x:v>
      </x:c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CFG-000027</x:v>
      </x:c>
      <x:c r="B28" s="26" t="str">
        <x:v>GEN-000021</x:v>
      </x:c>
      <x:c r="C28" s="26" t="str">
        <x:v>PWR-000023</x:v>
      </x:c>
      <x:c r="D28" s="26" t="str">
        <x:v>TR</x:v>
      </x:c>
      <x:c r="E28" s="26" t="n">
        <x:v>2026</x:v>
      </x:c>
      <x:c r="F28" s="26" t="str">
        <x:v>Combi Prestige</x:v>
      </x:c>
      <x:c r="G28" s="26" t="str">
        <x:v>Superb Combi Combi Prestige 1.5 TSI mHEV 150 PS DSG</x:v>
      </x:c>
      <x:c r="H28" s="26" t="str">
        <x:v>CURRENT</x:v>
      </x:c>
      <x:c r="I28" s="36" t="str"/>
      <x:c r="J28" s="36" t="str"/>
      <x:c r="K28" s="26" t="str">
        <x:v>VERIFIED</x:v>
      </x:c>
      <x:c r="L28" s="26" t="str">
        <x:v>Combi Prestige</x:v>
      </x:c>
      <x:c r="M28" s="26" t="str">
        <x:v>SCALE_BATCH_01</x:v>
      </x:c>
      <x:c r="N28" s="26" t="str">
        <x:v>Exact Turkey configuration observed in official model/trim material.</x:v>
      </x:c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CFG-000028</x:v>
      </x:c>
      <x:c r="B29" s="26" t="str">
        <x:v>GEN-000022</x:v>
      </x:c>
      <x:c r="C29" s="26" t="str">
        <x:v>PWR-000024</x:v>
      </x:c>
      <x:c r="D29" s="26" t="str">
        <x:v>TR</x:v>
      </x:c>
      <x:c r="E29" s="26" t="n">
        <x:v>2026</x:v>
      </x:c>
      <x:c r="F29" s="26" t="str">
        <x:v>Style</x:v>
      </x:c>
      <x:c r="G29" s="26" t="str">
        <x:v>Forester e-BOXER Style 2.0i e-BOXER Lineartronic AWD</x:v>
      </x:c>
      <x:c r="H29" s="26" t="str">
        <x:v>CURRENT</x:v>
      </x:c>
      <x:c r="I29" s="36" t="str"/>
      <x:c r="J29" s="36" t="str"/>
      <x:c r="K29" s="26" t="str">
        <x:v>VERIFIED</x:v>
      </x:c>
      <x:c r="L29" s="26" t="str">
        <x:v>Style</x:v>
      </x:c>
      <x:c r="M29" s="26" t="str">
        <x:v>SCALE_BATCH_01</x:v>
      </x:c>
      <x:c r="N29" s="26" t="str">
        <x:v>POST_BATCH01_HARDENING VERIFIED: official Aug 2026 Turkey price list identifies MY2026 Forester 2.0i e-BOXER Style; official technical sheet establishes Lineartronic AWD applicability (SRC-000042/043).</x:v>
      </x:c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CFG-000029</x:v>
      </x:c>
      <x:c r="B30" s="26" t="str">
        <x:v>GEN-000023</x:v>
      </x:c>
      <x:c r="C30" s="26" t="str">
        <x:v>PWR-000025</x:v>
      </x:c>
      <x:c r="D30" s="26" t="str">
        <x:v>TR</x:v>
      </x:c>
      <x:c r="E30" s="26" t="n">
        <x:v>2026</x:v>
      </x:c>
      <x:c r="F30" s="26" t="str">
        <x:v>Premium</x:v>
      </x:c>
      <x:c r="G30" s="26" t="str">
        <x:v>Scala Premium 1.0 TSI 115 PS DSG</x:v>
      </x:c>
      <x:c r="H30" s="26" t="str">
        <x:v>CURRENT</x:v>
      </x:c>
      <x:c r="I30" s="36" t="str"/>
      <x:c r="J30" s="36" t="str"/>
      <x:c r="K30" s="26" t="str">
        <x:v>VERIFIED</x:v>
      </x:c>
      <x:c r="L30" s="26" t="str">
        <x:v>Premium</x:v>
      </x:c>
      <x:c r="M30" s="26" t="str">
        <x:v>SCALE_BATCH_01</x:v>
      </x:c>
      <x:c r="N30" s="26" t="str">
        <x:v>POST_BATCH01_HARDENING VERIFIED: official 2026 price list establishes current MY set and official vehicle comparison links Scala Premium directly to 1.0 TSI 115 PS DSG (SRC-000038/040/044).</x:v>
      </x:c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36"/>
      <x:c r="J31" s="3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36"/>
      <x:c r="J32" s="3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36"/>
      <x:c r="J33" s="3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36"/>
      <x:c r="J34" s="3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36"/>
      <x:c r="J35" s="3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36"/>
      <x:c r="J36" s="3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36"/>
      <x:c r="J37" s="3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36"/>
      <x:c r="J38" s="3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36"/>
      <x:c r="J39" s="3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36"/>
      <x:c r="J40" s="3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36"/>
      <x:c r="J41" s="3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36"/>
      <x:c r="J42" s="3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36"/>
      <x:c r="J43" s="3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36"/>
      <x:c r="J44" s="3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36"/>
      <x:c r="J45" s="3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36"/>
      <x:c r="J46" s="3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36"/>
      <x:c r="J47" s="3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36"/>
      <x:c r="J48" s="3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36"/>
      <x:c r="J49" s="3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36"/>
      <x:c r="J50" s="3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36"/>
      <x:c r="J51" s="3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36"/>
      <x:c r="J52" s="3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36"/>
      <x:c r="J53" s="3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36"/>
      <x:c r="J54" s="3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36"/>
      <x:c r="J55" s="3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36"/>
      <x:c r="J56" s="3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36"/>
      <x:c r="J57" s="3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36"/>
      <x:c r="J58" s="3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36"/>
      <x:c r="J59" s="3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36"/>
      <x:c r="J60" s="3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36"/>
      <x:c r="J61" s="3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36"/>
      <x:c r="J62" s="3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36"/>
      <x:c r="J63" s="3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36"/>
      <x:c r="J64" s="3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36"/>
      <x:c r="J65" s="3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36"/>
      <x:c r="J66" s="3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36"/>
      <x:c r="J67" s="3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36"/>
      <x:c r="J68" s="3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36"/>
      <x:c r="J69" s="3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36"/>
      <x:c r="J70" s="3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36"/>
      <x:c r="J71" s="3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36"/>
      <x:c r="J72" s="3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36"/>
      <x:c r="J73" s="3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36"/>
      <x:c r="J74" s="3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36"/>
      <x:c r="J75" s="3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36"/>
      <x:c r="J76" s="3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36"/>
      <x:c r="J77" s="3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36"/>
      <x:c r="J78" s="3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36"/>
      <x:c r="J79" s="3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36"/>
      <x:c r="J80" s="3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36"/>
      <x:c r="J81" s="3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36"/>
      <x:c r="J82" s="3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36"/>
      <x:c r="J83" s="3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36"/>
      <x:c r="J84" s="3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36"/>
      <x:c r="J85" s="3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36"/>
      <x:c r="J86" s="3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36"/>
      <x:c r="J87" s="3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36"/>
      <x:c r="J88" s="3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36"/>
      <x:c r="J89" s="3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36"/>
      <x:c r="J90" s="3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36"/>
      <x:c r="J91" s="3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36"/>
      <x:c r="J92" s="3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36"/>
      <x:c r="J93" s="3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36"/>
      <x:c r="J94" s="3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36"/>
      <x:c r="J95" s="3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36"/>
      <x:c r="J96" s="3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36"/>
      <x:c r="J97" s="3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36"/>
      <x:c r="J98" s="3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36"/>
      <x:c r="J99" s="3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36"/>
      <x:c r="J100" s="3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36"/>
      <x:c r="J101" s="3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36"/>
      <x:c r="J102" s="3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36"/>
      <x:c r="J103" s="3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36"/>
      <x:c r="J104" s="3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36"/>
      <x:c r="J105" s="3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36"/>
      <x:c r="J106" s="3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36"/>
      <x:c r="J107" s="3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36"/>
      <x:c r="J108" s="3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36"/>
      <x:c r="J109" s="3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36"/>
      <x:c r="J110" s="3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36"/>
      <x:c r="J111" s="3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36"/>
      <x:c r="J112" s="3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36"/>
      <x:c r="J113" s="3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36"/>
      <x:c r="J114" s="3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36"/>
      <x:c r="J115" s="3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36"/>
      <x:c r="J116" s="3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36"/>
      <x:c r="J117" s="3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36"/>
      <x:c r="J118" s="3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36"/>
      <x:c r="J119" s="3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36"/>
      <x:c r="J120" s="3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36"/>
      <x:c r="J121" s="3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36"/>
      <x:c r="J122" s="3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36"/>
      <x:c r="J123" s="3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36"/>
      <x:c r="J124" s="3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36"/>
      <x:c r="J125" s="3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36"/>
      <x:c r="J126" s="3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36"/>
      <x:c r="J127" s="3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36"/>
      <x:c r="J128" s="3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36"/>
      <x:c r="J129" s="3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36"/>
      <x:c r="J130" s="3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36"/>
      <x:c r="J131" s="3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36"/>
      <x:c r="J132" s="3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36"/>
      <x:c r="J133" s="3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36"/>
      <x:c r="J134" s="3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36"/>
      <x:c r="J135" s="3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36"/>
      <x:c r="J136" s="3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36"/>
      <x:c r="J137" s="3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36"/>
      <x:c r="J138" s="3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36"/>
      <x:c r="J139" s="3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36"/>
      <x:c r="J140" s="3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36"/>
      <x:c r="J141" s="3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36"/>
      <x:c r="J142" s="3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36"/>
      <x:c r="J143" s="3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36"/>
      <x:c r="J144" s="3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36"/>
      <x:c r="J145" s="3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36"/>
      <x:c r="J146" s="3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36"/>
      <x:c r="J147" s="3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36"/>
      <x:c r="J148" s="3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36"/>
      <x:c r="J149" s="3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36"/>
      <x:c r="J150" s="3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36"/>
      <x:c r="J151" s="3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36"/>
      <x:c r="J152" s="3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36"/>
      <x:c r="J153" s="3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36"/>
      <x:c r="J154" s="3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36"/>
      <x:c r="J155" s="3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36"/>
      <x:c r="J156" s="3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36"/>
      <x:c r="J157" s="3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36"/>
      <x:c r="J158" s="3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36"/>
      <x:c r="J159" s="3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36"/>
      <x:c r="J160" s="3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36"/>
      <x:c r="J161" s="3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36"/>
      <x:c r="J162" s="3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36"/>
      <x:c r="J163" s="3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36"/>
      <x:c r="J164" s="3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36"/>
      <x:c r="J165" s="3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36"/>
      <x:c r="J166" s="3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36"/>
      <x:c r="J167" s="3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36"/>
      <x:c r="J168" s="3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36"/>
      <x:c r="J169" s="3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36"/>
      <x:c r="J170" s="3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36"/>
      <x:c r="J171" s="3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36"/>
      <x:c r="J172" s="3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36"/>
      <x:c r="J173" s="3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36"/>
      <x:c r="J174" s="3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36"/>
      <x:c r="J175" s="3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36"/>
      <x:c r="J176" s="3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36"/>
      <x:c r="J177" s="3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36"/>
      <x:c r="J178" s="3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36"/>
      <x:c r="J179" s="3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36"/>
      <x:c r="J180" s="3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36"/>
      <x:c r="J181" s="3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36"/>
      <x:c r="J182" s="3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36"/>
      <x:c r="J183" s="3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36"/>
      <x:c r="J184" s="3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36"/>
      <x:c r="J185" s="3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36"/>
      <x:c r="J186" s="3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36"/>
      <x:c r="J187" s="3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36"/>
      <x:c r="J188" s="3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36"/>
      <x:c r="J189" s="3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36"/>
      <x:c r="J190" s="3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36"/>
      <x:c r="J191" s="3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36"/>
      <x:c r="J192" s="3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36"/>
      <x:c r="J193" s="3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36"/>
      <x:c r="J194" s="3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36"/>
      <x:c r="J195" s="3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36"/>
      <x:c r="J196" s="3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36"/>
      <x:c r="J197" s="3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36"/>
      <x:c r="J198" s="3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36"/>
      <x:c r="J199" s="3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36"/>
      <x:c r="J200" s="3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36"/>
      <x:c r="J201" s="3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36"/>
      <x:c r="J202" s="3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36"/>
      <x:c r="J203" s="3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36"/>
      <x:c r="J204" s="3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36"/>
      <x:c r="J205" s="3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36"/>
      <x:c r="J206" s="3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36"/>
      <x:c r="J207" s="3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36"/>
      <x:c r="J208" s="3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36"/>
      <x:c r="J209" s="3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36"/>
      <x:c r="J210" s="3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36"/>
      <x:c r="J211" s="3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36"/>
      <x:c r="J212" s="3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36"/>
      <x:c r="J213" s="3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36"/>
      <x:c r="J214" s="3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36"/>
      <x:c r="J215" s="3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36"/>
      <x:c r="J216" s="3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36"/>
      <x:c r="J217" s="3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36"/>
      <x:c r="J218" s="3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36"/>
      <x:c r="J219" s="3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36"/>
      <x:c r="J220" s="3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36"/>
      <x:c r="J221" s="3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36"/>
      <x:c r="J222" s="3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36"/>
      <x:c r="J223" s="3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36"/>
      <x:c r="J224" s="3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36"/>
      <x:c r="J225" s="3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36"/>
      <x:c r="J226" s="3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36"/>
      <x:c r="J227" s="3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36"/>
      <x:c r="J228" s="3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36"/>
      <x:c r="J229" s="3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36"/>
      <x:c r="J230" s="3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36"/>
      <x:c r="J231" s="3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36"/>
      <x:c r="J232" s="3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36"/>
      <x:c r="J233" s="3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36"/>
      <x:c r="J234" s="3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36"/>
      <x:c r="J235" s="3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36"/>
      <x:c r="J236" s="3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36"/>
      <x:c r="J237" s="3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36"/>
      <x:c r="J238" s="3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36"/>
      <x:c r="J239" s="3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36"/>
      <x:c r="J240" s="3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36"/>
      <x:c r="J241" s="3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36"/>
      <x:c r="J242" s="3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36"/>
      <x:c r="J243" s="3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36"/>
      <x:c r="J244" s="3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36"/>
      <x:c r="J245" s="3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36"/>
      <x:c r="J246" s="3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36"/>
      <x:c r="J247" s="3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36"/>
      <x:c r="J248" s="3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36"/>
      <x:c r="J249" s="3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36"/>
      <x:c r="J250" s="3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36"/>
      <x:c r="J251" s="3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36"/>
      <x:c r="J252" s="3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36"/>
      <x:c r="J253" s="3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36"/>
      <x:c r="J254" s="3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36"/>
      <x:c r="J255" s="3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36"/>
      <x:c r="J256" s="3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36"/>
      <x:c r="J257" s="3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36"/>
      <x:c r="J258" s="3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36"/>
      <x:c r="J259" s="3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36"/>
      <x:c r="J260" s="3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36"/>
      <x:c r="J261" s="3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36"/>
      <x:c r="J262" s="3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36"/>
      <x:c r="J263" s="3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36"/>
      <x:c r="J264" s="3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36"/>
      <x:c r="J265" s="3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36"/>
      <x:c r="J266" s="3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36"/>
      <x:c r="J267" s="3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36"/>
      <x:c r="J268" s="3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36"/>
      <x:c r="J269" s="3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36"/>
      <x:c r="J270" s="3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36"/>
      <x:c r="J271" s="3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36"/>
      <x:c r="J272" s="3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36"/>
      <x:c r="J273" s="3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36"/>
      <x:c r="J274" s="3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36"/>
      <x:c r="J275" s="3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36"/>
      <x:c r="J276" s="3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36"/>
      <x:c r="J277" s="3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36"/>
      <x:c r="J278" s="3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36"/>
      <x:c r="J279" s="3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36"/>
      <x:c r="J280" s="3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36"/>
      <x:c r="J281" s="3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36"/>
      <x:c r="J282" s="3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36"/>
      <x:c r="J283" s="3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36"/>
      <x:c r="J284" s="3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36"/>
      <x:c r="J285" s="3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36"/>
      <x:c r="J286" s="3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36"/>
      <x:c r="J287" s="3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36"/>
      <x:c r="J288" s="3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36"/>
      <x:c r="J289" s="3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36"/>
      <x:c r="J290" s="3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36"/>
      <x:c r="J291" s="3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36"/>
      <x:c r="J292" s="3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36"/>
      <x:c r="J293" s="3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36"/>
      <x:c r="J294" s="3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36"/>
      <x:c r="J295" s="3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36"/>
      <x:c r="J296" s="3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36"/>
      <x:c r="J297" s="3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36"/>
      <x:c r="J298" s="3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36"/>
      <x:c r="J299" s="3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36"/>
      <x:c r="J300" s="3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36"/>
      <x:c r="J301" s="3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36"/>
      <x:c r="J302" s="3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36"/>
      <x:c r="J303" s="3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36"/>
      <x:c r="J304" s="3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36"/>
      <x:c r="J305" s="3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36"/>
      <x:c r="J306" s="3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36"/>
      <x:c r="J307" s="3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36"/>
      <x:c r="J308" s="3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36"/>
      <x:c r="J309" s="3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36"/>
      <x:c r="J310" s="3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36"/>
      <x:c r="J311" s="3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36"/>
      <x:c r="J312" s="3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36"/>
      <x:c r="J313" s="3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36"/>
      <x:c r="J314" s="3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36"/>
      <x:c r="J315" s="3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36"/>
      <x:c r="J316" s="3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36"/>
      <x:c r="J317" s="3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36"/>
      <x:c r="J318" s="3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36"/>
      <x:c r="J319" s="3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36"/>
      <x:c r="J320" s="3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36"/>
      <x:c r="J321" s="3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36"/>
      <x:c r="J322" s="3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36"/>
      <x:c r="J323" s="3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36"/>
      <x:c r="J324" s="3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36"/>
      <x:c r="J325" s="3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36"/>
      <x:c r="J326" s="3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36"/>
      <x:c r="J327" s="3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36"/>
      <x:c r="J328" s="3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36"/>
      <x:c r="J329" s="3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36"/>
      <x:c r="J330" s="3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36"/>
      <x:c r="J331" s="3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36"/>
      <x:c r="J332" s="3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36"/>
      <x:c r="J333" s="3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36"/>
      <x:c r="J334" s="3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36"/>
      <x:c r="J335" s="3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36"/>
      <x:c r="J336" s="3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36"/>
      <x:c r="J337" s="3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36"/>
      <x:c r="J338" s="3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36"/>
      <x:c r="J339" s="3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36"/>
      <x:c r="J340" s="3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36"/>
      <x:c r="J341" s="3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36"/>
      <x:c r="J342" s="3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36"/>
      <x:c r="J343" s="3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36"/>
      <x:c r="J344" s="3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36"/>
      <x:c r="J345" s="3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36"/>
      <x:c r="J346" s="3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36"/>
      <x:c r="J347" s="3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36"/>
      <x:c r="J348" s="3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36"/>
      <x:c r="J349" s="3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36"/>
      <x:c r="J350" s="3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36"/>
      <x:c r="J351" s="3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36"/>
      <x:c r="J352" s="3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36"/>
      <x:c r="J353" s="3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36"/>
      <x:c r="J354" s="3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36"/>
      <x:c r="J355" s="3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36"/>
      <x:c r="J356" s="3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36"/>
      <x:c r="J357" s="3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36"/>
      <x:c r="J358" s="3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36"/>
      <x:c r="J359" s="3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36"/>
      <x:c r="J360" s="3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36"/>
      <x:c r="J361" s="3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36"/>
      <x:c r="J362" s="3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36"/>
      <x:c r="J363" s="3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36"/>
      <x:c r="J364" s="3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36"/>
      <x:c r="J365" s="3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36"/>
      <x:c r="J366" s="3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36"/>
      <x:c r="J367" s="3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36"/>
      <x:c r="J368" s="3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36"/>
      <x:c r="J369" s="3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36"/>
      <x:c r="J370" s="3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36"/>
      <x:c r="J371" s="3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36"/>
      <x:c r="J372" s="3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36"/>
      <x:c r="J373" s="3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36"/>
      <x:c r="J374" s="3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36"/>
      <x:c r="J375" s="3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36"/>
      <x:c r="J376" s="3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36"/>
      <x:c r="J377" s="3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36"/>
      <x:c r="J378" s="3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36"/>
      <x:c r="J379" s="3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36"/>
      <x:c r="J380" s="3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36"/>
      <x:c r="J381" s="3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36"/>
      <x:c r="J382" s="3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36"/>
      <x:c r="J383" s="3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36"/>
      <x:c r="J384" s="3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36"/>
      <x:c r="J385" s="3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36"/>
      <x:c r="J386" s="3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36"/>
      <x:c r="J387" s="3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36"/>
      <x:c r="J388" s="3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36"/>
      <x:c r="J389" s="3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36"/>
      <x:c r="J390" s="3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36"/>
      <x:c r="J391" s="3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36"/>
      <x:c r="J392" s="3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36"/>
      <x:c r="J393" s="3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36"/>
      <x:c r="J394" s="3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36"/>
      <x:c r="J395" s="3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36"/>
      <x:c r="J396" s="3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36"/>
      <x:c r="J397" s="3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36"/>
      <x:c r="J398" s="3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36"/>
      <x:c r="J399" s="3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36"/>
      <x:c r="J400" s="3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36"/>
      <x:c r="J401" s="3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36"/>
      <x:c r="J402" s="3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36"/>
      <x:c r="J403" s="3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36"/>
      <x:c r="J404" s="3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36"/>
      <x:c r="J405" s="3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36"/>
      <x:c r="J406" s="3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36"/>
      <x:c r="J407" s="3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36"/>
      <x:c r="J408" s="3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36"/>
      <x:c r="J409" s="3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36"/>
      <x:c r="J410" s="3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36"/>
      <x:c r="J411" s="3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36"/>
      <x:c r="J412" s="3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36"/>
      <x:c r="J413" s="3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36"/>
      <x:c r="J414" s="3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36"/>
      <x:c r="J415" s="3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36"/>
      <x:c r="J416" s="3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36"/>
      <x:c r="J417" s="3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36"/>
      <x:c r="J418" s="3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36"/>
      <x:c r="J419" s="3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36"/>
      <x:c r="J420" s="3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36"/>
      <x:c r="J421" s="3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36"/>
      <x:c r="J422" s="3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36"/>
      <x:c r="J423" s="3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36"/>
      <x:c r="J424" s="3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36"/>
      <x:c r="J425" s="3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36"/>
      <x:c r="J426" s="3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36"/>
      <x:c r="J427" s="3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36"/>
      <x:c r="J428" s="3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36"/>
      <x:c r="J429" s="3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36"/>
      <x:c r="J430" s="3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36"/>
      <x:c r="J431" s="3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36"/>
      <x:c r="J432" s="3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36"/>
      <x:c r="J433" s="3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36"/>
      <x:c r="J434" s="3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36"/>
      <x:c r="J435" s="3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36"/>
      <x:c r="J436" s="3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36"/>
      <x:c r="J437" s="3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36"/>
      <x:c r="J438" s="3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36"/>
      <x:c r="J439" s="3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36"/>
      <x:c r="J440" s="3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36"/>
      <x:c r="J441" s="3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36"/>
      <x:c r="J442" s="3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36"/>
      <x:c r="J443" s="3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36"/>
      <x:c r="J444" s="3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36"/>
      <x:c r="J445" s="3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36"/>
      <x:c r="J446" s="3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36"/>
      <x:c r="J447" s="3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36"/>
      <x:c r="J448" s="3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36"/>
      <x:c r="J449" s="3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36"/>
      <x:c r="J450" s="3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36"/>
      <x:c r="J451" s="3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36"/>
      <x:c r="J452" s="3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36"/>
      <x:c r="J453" s="3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36"/>
      <x:c r="J454" s="3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36"/>
      <x:c r="J455" s="3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36"/>
      <x:c r="J456" s="3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36"/>
      <x:c r="J457" s="3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36"/>
      <x:c r="J458" s="3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36"/>
      <x:c r="J459" s="3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36"/>
      <x:c r="J460" s="3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36"/>
      <x:c r="J461" s="3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36"/>
      <x:c r="J462" s="3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36"/>
      <x:c r="J463" s="3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36"/>
      <x:c r="J464" s="3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36"/>
      <x:c r="J465" s="3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36"/>
      <x:c r="J466" s="3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36"/>
      <x:c r="J467" s="3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36"/>
      <x:c r="J468" s="3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36"/>
      <x:c r="J469" s="3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36"/>
      <x:c r="J470" s="3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36"/>
      <x:c r="J471" s="3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36"/>
      <x:c r="J472" s="3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36"/>
      <x:c r="J473" s="3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36"/>
      <x:c r="J474" s="3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36"/>
      <x:c r="J475" s="3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36"/>
      <x:c r="J476" s="3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36"/>
      <x:c r="J477" s="3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36"/>
      <x:c r="J478" s="3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36"/>
      <x:c r="J479" s="3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36"/>
      <x:c r="J480" s="3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36"/>
      <x:c r="J481" s="3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36"/>
      <x:c r="J482" s="3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36"/>
      <x:c r="J483" s="3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36"/>
      <x:c r="J484" s="3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36"/>
      <x:c r="J485" s="3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36"/>
      <x:c r="J486" s="3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36"/>
      <x:c r="J487" s="3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36"/>
      <x:c r="J488" s="3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36"/>
      <x:c r="J489" s="3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36"/>
      <x:c r="J490" s="3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36"/>
      <x:c r="J491" s="3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36"/>
      <x:c r="J492" s="3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36"/>
      <x:c r="J493" s="3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36"/>
      <x:c r="J494" s="3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36"/>
      <x:c r="J495" s="3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3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3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3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3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3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3">
    <x:dataValidation type="list" sqref="D2:D500">
      <x:formula1>'12_LISTS'!$B$59:$B$59</x:formula1>
    </x:dataValidation>
    <x:dataValidation type="list" sqref="H2:H500">
      <x:formula1>'12_LISTS'!$B$60:$B$65</x:formula1>
    </x:dataValidation>
    <x:dataValidation type="list" sqref="K2:K500">
      <x:formula1>'12_LISTS'!$B$66:$B$68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c6f486b438495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4" hidden="0" customWidth="1"/>
    <x:col min="5" max="5" width="16" hidden="0" customWidth="1"/>
    <x:col min="6" max="6" width="18" hidden="0" customWidth="1"/>
    <x:col min="7" max="7" width="12" hidden="0" customWidth="1"/>
    <x:col min="8" max="8" width="20" hidden="0" customWidth="1"/>
    <x:col min="9" max="9" width="30" hidden="0" customWidth="1"/>
    <x:col min="10" max="10" width="18" hidden="0" customWidth="1"/>
    <x:col min="11" max="11" width="18" hidden="0" customWidth="1"/>
    <x:col min="12" max="12" width="10" hidden="0" customWidth="1"/>
    <x:col min="13" max="13" width="40" hidden="0" customWidth="1"/>
    <x:col min="14" max="14" width="14" hidden="0" customWidth="1"/>
    <x:col min="15" max="15" width="14" hidden="0" customWidth="1"/>
    <x:col min="16" max="16" width="26" hidden="0" customWidth="1"/>
    <x:col min="17" max="17" width="34" hidden="0" customWidth="1"/>
  </x:cols>
  <x:sheetData>
    <x:row r="1">
      <x:c r="A1" s="6" t="str">
        <x:v>fact_id</x:v>
      </x:c>
      <x:c r="B1" s="6" t="str">
        <x:v>subject_type</x:v>
      </x:c>
      <x:c r="C1" s="6" t="str">
        <x:v>subject_id</x:v>
      </x:c>
      <x:c r="D1" s="6" t="str">
        <x:v>fact_key</x:v>
      </x:c>
      <x:c r="E1" s="6" t="str">
        <x:v>value_type</x:v>
      </x:c>
      <x:c r="F1" s="6" t="str">
        <x:v>value</x:v>
      </x:c>
      <x:c r="G1" s="6" t="str">
        <x:v>unit</x:v>
      </x:c>
      <x:c r="H1" s="6" t="str">
        <x:v>evidence_state</x:v>
      </x:c>
      <x:c r="I1" s="6" t="str">
        <x:v>measurement_context</x:v>
      </x:c>
      <x:c r="J1" s="6" t="str">
        <x:v>valid_from_model_year</x:v>
      </x:c>
      <x:c r="K1" s="6" t="str">
        <x:v>valid_to_model_year</x:v>
      </x:c>
      <x:c r="L1" s="6" t="str">
        <x:v>market</x:v>
      </x:c>
      <x:c r="M1" s="6" t="str">
        <x:v>notes</x:v>
      </x:c>
      <x:c r="N1" s="54" t="str">
        <x:v>value_min</x:v>
      </x:c>
      <x:c r="O1" s="54" t="str">
        <x:v>value_max</x:v>
      </x:c>
      <x:c r="P1" s="54" t="str">
        <x:v>range_semantics</x:v>
      </x:c>
      <x:c r="Q1" s="54" t="str">
        <x:v>source_value_semantics</x:v>
      </x:c>
      <x:c r="R1" t="str">
        <x:v>source_value_raw</x:v>
      </x:c>
      <x:c r="S1" t="str">
        <x:v>soc_start_pct</x:v>
      </x:c>
      <x:c r="T1" t="str">
        <x:v>soc_end_pct</x:v>
      </x:c>
      <x:c r="U1" t="str">
        <x:v>charge_power_context_kw</x:v>
      </x:c>
    </x:row>
    <x:row r="2">
      <x:c r="A2" s="26" t="str">
        <x:v>FAC-000001</x:v>
      </x:c>
      <x:c r="B2" s="26" t="str">
        <x:v>CONFIGURATION</x:v>
      </x:c>
      <x:c r="C2" s="26" t="str">
        <x:v>CFG-000008</x:v>
      </x:c>
      <x:c r="D2" s="26" t="str">
        <x:v>cargo_volume_l</x:v>
      </x:c>
      <x:c r="E2" s="26" t="str">
        <x:v>NUMBER</x:v>
      </x:c>
      <x:c r="F2" s="26" t="n">
        <x:v>410</x:v>
      </x:c>
      <x:c r="G2" s="26" t="str">
        <x:v>L</x:v>
      </x:c>
      <x:c r="H2" s="26" t="str">
        <x:v>VERIFIED</x:v>
      </x:c>
      <x:c r="I2" s="26" t="str">
        <x:v>minimum bagaj hacmi; litre value; official page also reports 328 dm3 VDA</x:v>
      </x:c>
      <x:c r="J2" s="26" t="n">
        <x:v>2026</x:v>
      </x:c>
      <x:c r="K2" s="26" t="n">
        <x:v>2026</x:v>
      </x:c>
      <x:c r="L2" s="26" t="str">
        <x:v>TR</x:v>
      </x:c>
      <x:c r="M2" s="26" t="str">
        <x:v>Official Dacia Expression Eco-G 120 auto / dimensions source.</x:v>
      </x:c>
      <x:c r="N2" s="26" t="str"/>
      <x:c r="O2" s="26" t="str"/>
      <x:c r="P2" s="26" t="str">
        <x:v>NONE</x:v>
      </x:c>
      <x:c r="Q2" s="26" t="str">
        <x:v>EXACT_SCALAR</x:v>
      </x:c>
      <x:c r="R2" s="26" t="str"/>
      <x:c r="S2" s="26" t="str"/>
      <x:c r="T2" s="26" t="str"/>
      <x:c r="U2" s="26" t="str"/>
      <x:c r="V2" s="26"/>
      <x:c r="W2" s="26"/>
      <x:c r="X2" s="26"/>
      <x:c r="Y2" s="26"/>
      <x:c r="Z2" s="26"/>
    </x:row>
    <x:row r="3">
      <x:c r="A3" s="26" t="str">
        <x:v>FAC-000002</x:v>
      </x:c>
      <x:c r="B3" s="26" t="str">
        <x:v>POWERTRAIN</x:v>
      </x:c>
      <x:c r="C3" s="26" t="str">
        <x:v>PWR-000001</x:v>
      </x:c>
      <x:c r="D3" s="26" t="str">
        <x:v>torque_nm</x:v>
      </x:c>
      <x:c r="E3" s="26" t="str">
        <x:v>NUMBER</x:v>
      </x:c>
      <x:c r="F3" s="26" t="n">
        <x:v>190</x:v>
      </x:c>
      <x:c r="G3" s="26" t="str">
        <x:v>Nm</x:v>
      </x:c>
      <x:c r="H3" s="26" t="str">
        <x:v>VERIFIED</x:v>
      </x:c>
      <x:c r="I3" s="26" t="str">
        <x:v>TCe EDC 115</x:v>
      </x:c>
      <x:c r="J3" s="26" t="n">
        <x:v>2026</x:v>
      </x:c>
      <x:c r="K3" s="26" t="n">
        <x:v>2026</x:v>
      </x:c>
      <x:c r="L3" s="26" t="str">
        <x:v>TR</x:v>
      </x:c>
      <x:c r="M3" s="26" t="str"/>
      <x:c r="N3" s="26" t="str"/>
      <x:c r="O3" s="26" t="str"/>
      <x:c r="P3" s="26" t="str">
        <x:v>NONE</x:v>
      </x:c>
      <x:c r="Q3" s="26" t="str">
        <x:v>EXACT_SCALAR</x:v>
      </x:c>
      <x:c r="R3" s="26" t="str"/>
      <x:c r="S3" s="26" t="str"/>
      <x:c r="T3" s="26" t="str"/>
      <x:c r="U3" s="26" t="str"/>
      <x:c r="V3" s="26"/>
      <x:c r="W3" s="26"/>
      <x:c r="X3" s="26"/>
      <x:c r="Y3" s="26"/>
      <x:c r="Z3" s="26"/>
    </x:row>
    <x:row r="4">
      <x:c r="A4" s="26" t="str">
        <x:v>FAC-000003</x:v>
      </x:c>
      <x:c r="B4" s="26" t="str">
        <x:v>POWERTRAIN</x:v>
      </x:c>
      <x:c r="C4" s="26" t="str">
        <x:v>PWR-000001</x:v>
      </x:c>
      <x:c r="D4" s="26" t="str">
        <x:v>engine_displacement_cc</x:v>
      </x:c>
      <x:c r="E4" s="26" t="str">
        <x:v>NUMBER</x:v>
      </x:c>
      <x:c r="F4" s="26" t="n">
        <x:v>1199</x:v>
      </x:c>
      <x:c r="G4" s="26" t="str">
        <x:v>cc</x:v>
      </x:c>
      <x:c r="H4" s="26" t="str">
        <x:v>VERIFIED</x:v>
      </x:c>
      <x:c r="I4" s="26" t="str">
        <x:v>TCe EDC 115</x:v>
      </x:c>
      <x:c r="J4" s="26" t="n">
        <x:v>2026</x:v>
      </x:c>
      <x:c r="K4" s="26" t="n">
        <x:v>2026</x:v>
      </x:c>
      <x:c r="L4" s="26" t="str">
        <x:v>TR</x:v>
      </x:c>
      <x:c r="M4" s="26" t="str"/>
      <x:c r="N4" s="26" t="str"/>
      <x:c r="O4" s="26" t="str"/>
      <x:c r="P4" s="26" t="str">
        <x:v>NONE</x:v>
      </x:c>
      <x:c r="Q4" s="26" t="str">
        <x:v>EXACT_SCALAR</x:v>
      </x:c>
      <x:c r="R4" s="26" t="str"/>
      <x:c r="S4" s="26" t="str"/>
      <x:c r="T4" s="26" t="str"/>
      <x:c r="U4" s="26" t="str"/>
      <x:c r="V4" s="26"/>
      <x:c r="W4" s="26"/>
      <x:c r="X4" s="26"/>
      <x:c r="Y4" s="26"/>
      <x:c r="Z4" s="26"/>
    </x:row>
    <x:row r="5">
      <x:c r="A5" s="26" t="str">
        <x:v>FAC-000004</x:v>
      </x:c>
      <x:c r="B5" s="26" t="str">
        <x:v>GENERATION</x:v>
      </x:c>
      <x:c r="C5" s="26" t="str">
        <x:v>GEN-000001</x:v>
      </x:c>
      <x:c r="D5" s="26" t="str">
        <x:v>length_mm</x:v>
      </x:c>
      <x:c r="E5" s="26" t="str">
        <x:v>NUMBER</x:v>
      </x:c>
      <x:c r="F5" s="26" t="n">
        <x:v>4116</x:v>
      </x:c>
      <x:c r="G5" s="26" t="str">
        <x:v>mm</x:v>
      </x:c>
      <x:c r="H5" s="26" t="str">
        <x:v>VERIFIED</x:v>
      </x:c>
      <x:c r="I5" s="26" t="str"/>
      <x:c r="J5" s="26" t="n">
        <x:v>2026</x:v>
      </x:c>
      <x:c r="K5" s="26" t="n">
        <x:v>2026</x:v>
      </x:c>
      <x:c r="L5" s="26" t="str">
        <x:v>TR</x:v>
      </x:c>
      <x:c r="M5" s="26" t="str"/>
      <x:c r="N5" s="26" t="str"/>
      <x:c r="O5" s="26" t="str"/>
      <x:c r="P5" s="26" t="str">
        <x:v>NONE</x:v>
      </x:c>
      <x:c r="Q5" s="26" t="str">
        <x:v>EXACT_SCALAR</x:v>
      </x:c>
      <x:c r="R5" s="26" t="str"/>
      <x:c r="S5" s="26" t="str"/>
      <x:c r="T5" s="26" t="str"/>
      <x:c r="U5" s="26" t="str"/>
      <x:c r="V5" s="26"/>
      <x:c r="W5" s="26"/>
      <x:c r="X5" s="26"/>
      <x:c r="Y5" s="26"/>
      <x:c r="Z5" s="26"/>
    </x:row>
    <x:row r="6">
      <x:c r="A6" s="26" t="str">
        <x:v>FAC-000005</x:v>
      </x:c>
      <x:c r="B6" s="26" t="str">
        <x:v>GENERATION</x:v>
      </x:c>
      <x:c r="C6" s="26" t="str">
        <x:v>GEN-000001</x:v>
      </x:c>
      <x:c r="D6" s="26" t="str">
        <x:v>width_mm</x:v>
      </x:c>
      <x:c r="E6" s="26" t="str">
        <x:v>NUMBER</x:v>
      </x:c>
      <x:c r="F6" s="26" t="n">
        <x:v>1768</x:v>
      </x:c>
      <x:c r="G6" s="26" t="str">
        <x:v>mm</x:v>
      </x:c>
      <x:c r="H6" s="26" t="str">
        <x:v>VERIFIED</x:v>
      </x:c>
      <x:c r="I6" s="26" t="str">
        <x:v>mirrors excluded</x:v>
      </x:c>
      <x:c r="J6" s="26" t="n">
        <x:v>2026</x:v>
      </x:c>
      <x:c r="K6" s="26" t="n">
        <x:v>2026</x:v>
      </x:c>
      <x:c r="L6" s="26" t="str">
        <x:v>TR</x:v>
      </x:c>
      <x:c r="M6" s="26" t="str"/>
      <x:c r="N6" s="26" t="str"/>
      <x:c r="O6" s="26" t="str"/>
      <x:c r="P6" s="26" t="str">
        <x:v>NONE</x:v>
      </x:c>
      <x:c r="Q6" s="26" t="str">
        <x:v>EXACT_SCALAR</x:v>
      </x:c>
      <x:c r="R6" s="26" t="str"/>
      <x:c r="S6" s="26" t="str"/>
      <x:c r="T6" s="26" t="str"/>
      <x:c r="U6" s="26" t="str"/>
      <x:c r="V6" s="26"/>
      <x:c r="W6" s="26"/>
      <x:c r="X6" s="26"/>
      <x:c r="Y6" s="26"/>
      <x:c r="Z6" s="26"/>
    </x:row>
    <x:row r="7">
      <x:c r="A7" s="26" t="str">
        <x:v>FAC-000006</x:v>
      </x:c>
      <x:c r="B7" s="26" t="str">
        <x:v>GENERATION</x:v>
      </x:c>
      <x:c r="C7" s="26" t="str">
        <x:v>GEN-000001</x:v>
      </x:c>
      <x:c r="D7" s="26" t="str">
        <x:v>height_mm</x:v>
      </x:c>
      <x:c r="E7" s="26" t="str">
        <x:v>NUMBER</x:v>
      </x:c>
      <x:c r="F7" s="26" t="n">
        <x:v>1451</x:v>
      </x:c>
      <x:c r="G7" s="26" t="str">
        <x:v>mm</x:v>
      </x:c>
      <x:c r="H7" s="26" t="str">
        <x:v>VERIFIED</x:v>
      </x:c>
      <x:c r="I7" s="26" t="str"/>
      <x:c r="J7" s="26" t="n">
        <x:v>2026</x:v>
      </x:c>
      <x:c r="K7" s="26" t="n">
        <x:v>2026</x:v>
      </x:c>
      <x:c r="L7" s="26" t="str">
        <x:v>TR</x:v>
      </x:c>
      <x:c r="M7" s="26" t="str"/>
      <x:c r="N7" s="26" t="str"/>
      <x:c r="O7" s="26" t="str"/>
      <x:c r="P7" s="26" t="str">
        <x:v>NONE</x:v>
      </x:c>
      <x:c r="Q7" s="26" t="str">
        <x:v>EXACT_SCALAR</x:v>
      </x:c>
      <x:c r="R7" s="26" t="str"/>
      <x:c r="S7" s="26" t="str"/>
      <x:c r="T7" s="26" t="str"/>
      <x:c r="U7" s="26" t="str"/>
      <x:c r="V7" s="26"/>
      <x:c r="W7" s="26"/>
      <x:c r="X7" s="26"/>
      <x:c r="Y7" s="26"/>
      <x:c r="Z7" s="26"/>
    </x:row>
    <x:row r="8">
      <x:c r="A8" s="26" t="str">
        <x:v>FAC-000007</x:v>
      </x:c>
      <x:c r="B8" s="26" t="str">
        <x:v>GENERATION</x:v>
      </x:c>
      <x:c r="C8" s="26" t="str">
        <x:v>GEN-000001</x:v>
      </x:c>
      <x:c r="D8" s="26" t="str">
        <x:v>wheelbase_mm</x:v>
      </x:c>
      <x:c r="E8" s="26" t="str">
        <x:v>NUMBER</x:v>
      </x:c>
      <x:c r="F8" s="26" t="n">
        <x:v>2591</x:v>
      </x:c>
      <x:c r="G8" s="26" t="str">
        <x:v>mm</x:v>
      </x:c>
      <x:c r="H8" s="26" t="str">
        <x:v>VERIFIED</x:v>
      </x:c>
      <x:c r="I8" s="26" t="str"/>
      <x:c r="J8" s="26" t="n">
        <x:v>2026</x:v>
      </x:c>
      <x:c r="K8" s="26" t="n">
        <x:v>2026</x:v>
      </x:c>
      <x:c r="L8" s="26" t="str">
        <x:v>TR</x:v>
      </x:c>
      <x:c r="M8" s="26" t="str"/>
      <x:c r="N8" s="26" t="str"/>
      <x:c r="O8" s="26" t="str"/>
      <x:c r="P8" s="26" t="str">
        <x:v>NONE</x:v>
      </x:c>
      <x:c r="Q8" s="26" t="str">
        <x:v>EXACT_SCALAR</x:v>
      </x:c>
      <x:c r="R8" s="26" t="str"/>
      <x:c r="S8" s="26" t="str"/>
      <x:c r="T8" s="26" t="str"/>
      <x:c r="U8" s="26" t="str"/>
      <x:c r="V8" s="26"/>
      <x:c r="W8" s="26"/>
      <x:c r="X8" s="26"/>
      <x:c r="Y8" s="26"/>
      <x:c r="Z8" s="26"/>
    </x:row>
    <x:row r="9">
      <x:c r="A9" s="26" t="str">
        <x:v>FAC-000008</x:v>
      </x:c>
      <x:c r="B9" s="26" t="str">
        <x:v>GENERATION</x:v>
      </x:c>
      <x:c r="C9" s="26" t="str">
        <x:v>GEN-000001</x:v>
      </x:c>
      <x:c r="D9" s="26" t="str">
        <x:v>cargo_volume_l</x:v>
      </x:c>
      <x:c r="E9" s="26" t="str">
        <x:v>NUMBER</x:v>
      </x:c>
      <x:c r="F9" s="26" t="n">
        <x:v>391</x:v>
      </x:c>
      <x:c r="G9" s="26" t="str">
        <x:v>L</x:v>
      </x:c>
      <x:c r="H9" s="26" t="str">
        <x:v>VERIFIED</x:v>
      </x:c>
      <x:c r="I9" s="26" t="str">
        <x:v>seats up</x:v>
      </x:c>
      <x:c r="J9" s="26" t="n">
        <x:v>2026</x:v>
      </x:c>
      <x:c r="K9" s="26" t="n">
        <x:v>2026</x:v>
      </x:c>
      <x:c r="L9" s="26" t="str">
        <x:v>TR</x:v>
      </x:c>
      <x:c r="M9" s="26" t="str"/>
      <x:c r="N9" s="26" t="str"/>
      <x:c r="O9" s="26" t="str"/>
      <x:c r="P9" s="26" t="str">
        <x:v>NONE</x:v>
      </x:c>
      <x:c r="Q9" s="26" t="str">
        <x:v>EXACT_SCALAR</x:v>
      </x:c>
      <x:c r="R9" s="26" t="str"/>
      <x:c r="S9" s="26" t="str"/>
      <x:c r="T9" s="26" t="str"/>
      <x:c r="U9" s="26" t="str"/>
      <x:c r="V9" s="26"/>
      <x:c r="W9" s="26"/>
      <x:c r="X9" s="26"/>
      <x:c r="Y9" s="26"/>
      <x:c r="Z9" s="26"/>
    </x:row>
    <x:row r="10">
      <x:c r="A10" s="26" t="str">
        <x:v>FAC-000009</x:v>
      </x:c>
      <x:c r="B10" s="26" t="str">
        <x:v>CONFIGURATION</x:v>
      </x:c>
      <x:c r="C10" s="26" t="str">
        <x:v>CFG-000001</x:v>
      </x:c>
      <x:c r="D10" s="26" t="str">
        <x:v>seats</x:v>
      </x:c>
      <x:c r="E10" s="26" t="str">
        <x:v>NUMBER</x:v>
      </x:c>
      <x:c r="F10" s="26" t="n">
        <x:v>5</x:v>
      </x:c>
      <x:c r="G10" s="26" t="str">
        <x:v>count</x:v>
      </x:c>
      <x:c r="H10" s="26" t="str">
        <x:v>VERIFIED</x:v>
      </x:c>
      <x:c r="I10" s="26" t="str"/>
      <x:c r="J10" s="26" t="n">
        <x:v>2026</x:v>
      </x:c>
      <x:c r="K10" s="26" t="n">
        <x:v>2026</x:v>
      </x:c>
      <x:c r="L10" s="26" t="str">
        <x:v>TR</x:v>
      </x:c>
      <x:c r="M10" s="26" t="str"/>
      <x:c r="N10" s="26" t="str"/>
      <x:c r="O10" s="26" t="str"/>
      <x:c r="P10" s="26" t="str">
        <x:v>NONE</x:v>
      </x:c>
      <x:c r="Q10" s="26" t="str">
        <x:v>EXACT_SCALAR</x:v>
      </x:c>
      <x:c r="R10" s="26" t="str"/>
      <x:c r="S10" s="26" t="str"/>
      <x:c r="T10" s="26" t="str"/>
      <x:c r="U10" s="26" t="str"/>
      <x:c r="V10" s="26"/>
      <x:c r="W10" s="26"/>
      <x:c r="X10" s="26"/>
      <x:c r="Y10" s="26"/>
      <x:c r="Z10" s="26"/>
    </x:row>
    <x:row r="11">
      <x:c r="A11" s="26" t="str">
        <x:v>FAC-000010</x:v>
      </x:c>
      <x:c r="B11" s="26" t="str">
        <x:v>CONFIGURATION</x:v>
      </x:c>
      <x:c r="C11" s="26" t="str">
        <x:v>CFG-000001</x:v>
      </x:c>
      <x:c r="D11" s="26" t="str">
        <x:v>doors</x:v>
      </x:c>
      <x:c r="E11" s="26" t="str">
        <x:v>NUMBER</x:v>
      </x:c>
      <x:c r="F11" s="26" t="n">
        <x:v>5</x:v>
      </x:c>
      <x:c r="G11" s="26" t="str">
        <x:v>count</x:v>
      </x:c>
      <x:c r="H11" s="26" t="str">
        <x:v>VERIFIED</x:v>
      </x:c>
      <x:c r="I11" s="26" t="str"/>
      <x:c r="J11" s="26" t="n">
        <x:v>2026</x:v>
      </x:c>
      <x:c r="K11" s="26" t="n">
        <x:v>2026</x:v>
      </x:c>
      <x:c r="L11" s="26" t="str">
        <x:v>TR</x:v>
      </x:c>
      <x:c r="M11" s="26" t="str"/>
      <x:c r="N11" s="26" t="str"/>
      <x:c r="O11" s="26" t="str"/>
      <x:c r="P11" s="26" t="str">
        <x:v>NONE</x:v>
      </x:c>
      <x:c r="Q11" s="26" t="str">
        <x:v>EXACT_SCALAR</x:v>
      </x:c>
      <x:c r="R11" s="26" t="str"/>
      <x:c r="S11" s="26" t="str"/>
      <x:c r="T11" s="26" t="str"/>
      <x:c r="U11" s="26" t="str"/>
      <x:c r="V11" s="26"/>
      <x:c r="W11" s="26"/>
      <x:c r="X11" s="26"/>
      <x:c r="Y11" s="26"/>
      <x:c r="Z11" s="26"/>
    </x:row>
    <x:row r="12">
      <x:c r="A12" s="26" t="str">
        <x:v>FAC-000011</x:v>
      </x:c>
      <x:c r="B12" s="26" t="str">
        <x:v>CONFIGURATION</x:v>
      </x:c>
      <x:c r="C12" s="26" t="str">
        <x:v>CFG-000001</x:v>
      </x:c>
      <x:c r="D12" s="26" t="str">
        <x:v>turning_circle_m</x:v>
      </x:c>
      <x:c r="E12" s="26" t="str">
        <x:v>NUMBER</x:v>
      </x:c>
      <x:c r="F12" s="26" t="n">
        <x:v>10.4</x:v>
      </x:c>
      <x:c r="G12" s="26" t="str">
        <x:v>m</x:v>
      </x:c>
      <x:c r="H12" s="26" t="str">
        <x:v>VERIFIED</x:v>
      </x:c>
      <x:c r="I12" s="26" t="str">
        <x:v>official page labels turning diameter</x:v>
      </x:c>
      <x:c r="J12" s="26" t="n">
        <x:v>2026</x:v>
      </x:c>
      <x:c r="K12" s="26" t="n">
        <x:v>2026</x:v>
      </x:c>
      <x:c r="L12" s="26" t="str">
        <x:v>TR</x:v>
      </x:c>
      <x:c r="M12" s="26" t="str"/>
      <x:c r="N12" s="26" t="str"/>
      <x:c r="O12" s="26" t="str"/>
      <x:c r="P12" s="26" t="str">
        <x:v>NONE</x:v>
      </x:c>
      <x:c r="Q12" s="26" t="str">
        <x:v>EXACT_SCALAR</x:v>
      </x:c>
      <x:c r="R12" s="26" t="str"/>
      <x:c r="S12" s="26" t="str"/>
      <x:c r="T12" s="26" t="str"/>
      <x:c r="U12" s="26" t="str"/>
      <x:c r="V12" s="26"/>
      <x:c r="W12" s="26"/>
      <x:c r="X12" s="26"/>
      <x:c r="Y12" s="26"/>
      <x:c r="Z12" s="26"/>
    </x:row>
    <x:row r="13">
      <x:c r="A13" s="26" t="str">
        <x:v>FAC-000012</x:v>
      </x:c>
      <x:c r="B13" s="26" t="str">
        <x:v>POWERTRAIN</x:v>
      </x:c>
      <x:c r="C13" s="26" t="str">
        <x:v>PWR-000001</x:v>
      </x:c>
      <x:c r="D13" s="26" t="str">
        <x:v>official_fuel_consumption_combined</x:v>
      </x:c>
      <x:c r="E13" s="26" t="str">
        <x:v>TEXT</x:v>
      </x:c>
      <x:c r="F13" s="26" t="str">
        <x:v>5.0 / 5.1</x:v>
      </x:c>
      <x:c r="G13" s="26" t="str">
        <x:v>L/100km</x:v>
      </x:c>
      <x:c r="H13" s="26" t="str">
        <x:v>CONFLICTING</x:v>
      </x:c>
      <x:c r="I13" s="26" t="str">
        <x:v>Two combined WLTP values on same page</x:v>
      </x:c>
      <x:c r="J13" s="26" t="n">
        <x:v>2026</x:v>
      </x:c>
      <x:c r="K13" s="26" t="n">
        <x:v>2026</x:v>
      </x:c>
      <x:c r="L13" s="26" t="str">
        <x:v>TR</x:v>
      </x:c>
      <x:c r="M13" s="26" t="str">
        <x:v>Do not average.</x:v>
      </x:c>
      <x:c r="N13" s="26" t="str"/>
      <x:c r="O13" s="26" t="str"/>
      <x:c r="P13" s="26" t="str">
        <x:v>MULTIPLE_OFFICIAL_VALUES</x:v>
      </x:c>
      <x:c r="Q13" s="26" t="str">
        <x:v>OFFICIAL_VALUES_CONFLICT</x:v>
      </x:c>
      <x:c r="R13" s="26" t="str"/>
      <x:c r="S13" s="26" t="str"/>
      <x:c r="T13" s="26" t="str"/>
      <x:c r="U13" s="26" t="str"/>
      <x:c r="V13" s="26"/>
      <x:c r="W13" s="26"/>
      <x:c r="X13" s="26"/>
      <x:c r="Y13" s="26"/>
      <x:c r="Z13" s="26"/>
    </x:row>
    <x:row r="14">
      <x:c r="A14" s="26" t="str">
        <x:v>FAC-000013</x:v>
      </x:c>
      <x:c r="B14" s="26" t="str">
        <x:v>POWERTRAIN</x:v>
      </x:c>
      <x:c r="C14" s="26" t="str">
        <x:v>PWR-000002</x:v>
      </x:c>
      <x:c r="D14" s="26" t="str">
        <x:v>engine_displacement_cc</x:v>
      </x:c>
      <x:c r="E14" s="26" t="str">
        <x:v>NUMBER</x:v>
      </x:c>
      <x:c r="F14" s="26" t="n">
        <x:v>1598</x:v>
      </x:c>
      <x:c r="G14" s="26" t="str">
        <x:v>cc</x:v>
      </x:c>
      <x:c r="H14" s="26" t="str">
        <x:v>VERIFIED</x:v>
      </x:c>
      <x:c r="I14" s="26" t="str"/>
      <x:c r="J14" s="26" t="n">
        <x:v>2026</x:v>
      </x:c>
      <x:c r="K14" s="26" t="n">
        <x:v>2026</x:v>
      </x:c>
      <x:c r="L14" s="26" t="str">
        <x:v>TR</x:v>
      </x:c>
      <x:c r="M14" s="26" t="str"/>
      <x:c r="N14" s="26" t="str"/>
      <x:c r="O14" s="26" t="str"/>
      <x:c r="P14" s="26" t="str">
        <x:v>NONE</x:v>
      </x:c>
      <x:c r="Q14" s="26" t="str">
        <x:v>EXACT_SCALAR</x:v>
      </x:c>
      <x:c r="R14" s="26" t="str"/>
      <x:c r="S14" s="26" t="str"/>
      <x:c r="T14" s="26" t="str"/>
      <x:c r="U14" s="26" t="str"/>
      <x:c r="V14" s="26"/>
      <x:c r="W14" s="26"/>
      <x:c r="X14" s="26"/>
      <x:c r="Y14" s="26"/>
      <x:c r="Z14" s="26"/>
    </x:row>
    <x:row r="15">
      <x:c r="A15" s="26" t="str">
        <x:v>FAC-000014</x:v>
      </x:c>
      <x:c r="B15" s="26" t="str">
        <x:v>POWERTRAIN</x:v>
      </x:c>
      <x:c r="C15" s="26" t="str">
        <x:v>PWR-000002</x:v>
      </x:c>
      <x:c r="D15" s="26" t="str">
        <x:v>power_kw</x:v>
      </x:c>
      <x:c r="E15" s="26" t="str">
        <x:v>NUMBER</x:v>
      </x:c>
      <x:c r="F15" s="26" t="n">
        <x:v>96</x:v>
      </x:c>
      <x:c r="G15" s="26" t="str">
        <x:v>kW</x:v>
      </x:c>
      <x:c r="H15" s="26" t="str">
        <x:v>VERIFIED</x:v>
      </x:c>
      <x:c r="I15" s="26" t="str"/>
      <x:c r="J15" s="26" t="n">
        <x:v>2026</x:v>
      </x:c>
      <x:c r="K15" s="26" t="n">
        <x:v>2026</x:v>
      </x:c>
      <x:c r="L15" s="26" t="str">
        <x:v>TR</x:v>
      </x:c>
      <x:c r="M15" s="26" t="str"/>
      <x:c r="N15" s="26" t="str"/>
      <x:c r="O15" s="26" t="str"/>
      <x:c r="P15" s="26" t="str">
        <x:v>NONE</x:v>
      </x:c>
      <x:c r="Q15" s="26" t="str">
        <x:v>EXACT_SCALAR</x:v>
      </x:c>
      <x:c r="R15" s="26" t="str"/>
      <x:c r="S15" s="26" t="str"/>
      <x:c r="T15" s="26" t="str"/>
      <x:c r="U15" s="26" t="str"/>
      <x:c r="V15" s="26"/>
      <x:c r="W15" s="26"/>
      <x:c r="X15" s="26"/>
      <x:c r="Y15" s="26"/>
      <x:c r="Z15" s="26"/>
    </x:row>
    <x:row r="16">
      <x:c r="A16" s="26" t="str">
        <x:v>FAC-000015</x:v>
      </x:c>
      <x:c r="B16" s="26" t="str">
        <x:v>POWERTRAIN</x:v>
      </x:c>
      <x:c r="C16" s="26" t="str">
        <x:v>PWR-000002</x:v>
      </x:c>
      <x:c r="D16" s="26" t="str">
        <x:v>torque_nm</x:v>
      </x:c>
      <x:c r="E16" s="26" t="str">
        <x:v>NUMBER</x:v>
      </x:c>
      <x:c r="F16" s="26" t="n">
        <x:v>320</x:v>
      </x:c>
      <x:c r="G16" s="26" t="str">
        <x:v>Nm</x:v>
      </x:c>
      <x:c r="H16" s="26" t="str">
        <x:v>VERIFIED</x:v>
      </x:c>
      <x:c r="I16" s="26" t="str"/>
      <x:c r="J16" s="26" t="n">
        <x:v>2026</x:v>
      </x:c>
      <x:c r="K16" s="26" t="n">
        <x:v>2026</x:v>
      </x:c>
      <x:c r="L16" s="26" t="str">
        <x:v>TR</x:v>
      </x:c>
      <x:c r="M16" s="26" t="str"/>
      <x:c r="N16" s="26" t="str"/>
      <x:c r="O16" s="26" t="str"/>
      <x:c r="P16" s="26" t="str">
        <x:v>NONE</x:v>
      </x:c>
      <x:c r="Q16" s="26" t="str">
        <x:v>EXACT_SCALAR</x:v>
      </x:c>
      <x:c r="R16" s="26" t="str"/>
      <x:c r="S16" s="26" t="str"/>
      <x:c r="T16" s="26" t="str"/>
      <x:c r="U16" s="26" t="str"/>
      <x:c r="V16" s="26"/>
      <x:c r="W16" s="26"/>
      <x:c r="X16" s="26"/>
      <x:c r="Y16" s="26"/>
      <x:c r="Z16" s="26"/>
    </x:row>
    <x:row r="17">
      <x:c r="A17" s="26" t="str">
        <x:v>FAC-000016</x:v>
      </x:c>
      <x:c r="B17" s="26" t="str">
        <x:v>GENERATION</x:v>
      </x:c>
      <x:c r="C17" s="26" t="str">
        <x:v>GEN-000002</x:v>
      </x:c>
      <x:c r="D17" s="26" t="str">
        <x:v>length_mm</x:v>
      </x:c>
      <x:c r="E17" s="26" t="str">
        <x:v>NUMBER</x:v>
      </x:c>
      <x:c r="F17" s="26" t="n">
        <x:v>4532</x:v>
      </x:c>
      <x:c r="G17" s="26" t="str">
        <x:v>mm</x:v>
      </x:c>
      <x:c r="H17" s="26" t="str">
        <x:v>VERIFIED</x:v>
      </x:c>
      <x:c r="I17" s="26" t="str"/>
      <x:c r="J17" s="26" t="n">
        <x:v>2026</x:v>
      </x:c>
      <x:c r="K17" s="26" t="n">
        <x:v>2026</x:v>
      </x:c>
      <x:c r="L17" s="26" t="str">
        <x:v>TR</x:v>
      </x:c>
      <x:c r="M17" s="26" t="str"/>
      <x:c r="N17" s="26" t="str"/>
      <x:c r="O17" s="26" t="str"/>
      <x:c r="P17" s="26" t="str">
        <x:v>NONE</x:v>
      </x:c>
      <x:c r="Q17" s="26" t="str">
        <x:v>EXACT_SCALAR</x:v>
      </x:c>
      <x:c r="R17" s="26" t="str"/>
      <x:c r="S17" s="26" t="str"/>
      <x:c r="T17" s="26" t="str"/>
      <x:c r="U17" s="26" t="str"/>
      <x:c r="V17" s="26"/>
      <x:c r="W17" s="26"/>
      <x:c r="X17" s="26"/>
      <x:c r="Y17" s="26"/>
      <x:c r="Z17" s="26"/>
    </x:row>
    <x:row r="18">
      <x:c r="A18" s="26" t="str">
        <x:v>FAC-000017</x:v>
      </x:c>
      <x:c r="B18" s="26" t="str">
        <x:v>GENERATION</x:v>
      </x:c>
      <x:c r="C18" s="26" t="str">
        <x:v>GEN-000002</x:v>
      </x:c>
      <x:c r="D18" s="26" t="str">
        <x:v>width_mm</x:v>
      </x:c>
      <x:c r="E18" s="26" t="str">
        <x:v>NUMBER</x:v>
      </x:c>
      <x:c r="F18" s="26" t="n">
        <x:v>1792</x:v>
      </x:c>
      <x:c r="G18" s="26" t="str">
        <x:v>mm</x:v>
      </x:c>
      <x:c r="H18" s="26" t="str">
        <x:v>VERIFIED</x:v>
      </x:c>
      <x:c r="I18" s="26" t="str"/>
      <x:c r="J18" s="26" t="n">
        <x:v>2026</x:v>
      </x:c>
      <x:c r="K18" s="26" t="n">
        <x:v>2026</x:v>
      </x:c>
      <x:c r="L18" s="26" t="str">
        <x:v>TR</x:v>
      </x:c>
      <x:c r="M18" s="26" t="str"/>
      <x:c r="N18" s="26" t="str"/>
      <x:c r="O18" s="26" t="str"/>
      <x:c r="P18" s="26" t="str">
        <x:v>NONE</x:v>
      </x:c>
      <x:c r="Q18" s="26" t="str">
        <x:v>EXACT_SCALAR</x:v>
      </x:c>
      <x:c r="R18" s="26" t="str"/>
      <x:c r="S18" s="26" t="str"/>
      <x:c r="T18" s="26" t="str"/>
      <x:c r="U18" s="26" t="str"/>
      <x:c r="V18" s="26"/>
      <x:c r="W18" s="26"/>
      <x:c r="X18" s="26"/>
      <x:c r="Y18" s="26"/>
      <x:c r="Z18" s="26"/>
    </x:row>
    <x:row r="19">
      <x:c r="A19" s="26" t="str">
        <x:v>FAC-000018</x:v>
      </x:c>
      <x:c r="B19" s="26" t="str">
        <x:v>GENERATION</x:v>
      </x:c>
      <x:c r="C19" s="26" t="str">
        <x:v>GEN-000002</x:v>
      </x:c>
      <x:c r="D19" s="26" t="str">
        <x:v>height_mm</x:v>
      </x:c>
      <x:c r="E19" s="26" t="str">
        <x:v>NUMBER</x:v>
      </x:c>
      <x:c r="F19" s="26" t="n">
        <x:v>1497</x:v>
      </x:c>
      <x:c r="G19" s="26" t="str">
        <x:v>mm</x:v>
      </x:c>
      <x:c r="H19" s="26" t="str">
        <x:v>VERIFIED</x:v>
      </x:c>
      <x:c r="I19" s="26" t="str"/>
      <x:c r="J19" s="26" t="n">
        <x:v>2026</x:v>
      </x:c>
      <x:c r="K19" s="26" t="n">
        <x:v>2026</x:v>
      </x:c>
      <x:c r="L19" s="26" t="str">
        <x:v>TR</x:v>
      </x:c>
      <x:c r="M19" s="26" t="str"/>
      <x:c r="N19" s="26" t="str"/>
      <x:c r="O19" s="26" t="str"/>
      <x:c r="P19" s="26" t="str">
        <x:v>NONE</x:v>
      </x:c>
      <x:c r="Q19" s="26" t="str">
        <x:v>EXACT_SCALAR</x:v>
      </x:c>
      <x:c r="R19" s="26" t="str"/>
      <x:c r="S19" s="26" t="str"/>
      <x:c r="T19" s="26" t="str"/>
      <x:c r="U19" s="26" t="str"/>
      <x:c r="V19" s="26"/>
      <x:c r="W19" s="26"/>
      <x:c r="X19" s="26"/>
      <x:c r="Y19" s="26"/>
      <x:c r="Z19" s="26"/>
    </x:row>
    <x:row r="20">
      <x:c r="A20" s="26" t="str">
        <x:v>FAC-000019</x:v>
      </x:c>
      <x:c r="B20" s="26" t="str">
        <x:v>GENERATION</x:v>
      </x:c>
      <x:c r="C20" s="26" t="str">
        <x:v>GEN-000002</x:v>
      </x:c>
      <x:c r="D20" s="26" t="str">
        <x:v>cargo_volume_l</x:v>
      </x:c>
      <x:c r="E20" s="26" t="str">
        <x:v>NUMBER</x:v>
      </x:c>
      <x:c r="F20" s="26" t="n">
        <x:v>520</x:v>
      </x:c>
      <x:c r="G20" s="26" t="str">
        <x:v>L</x:v>
      </x:c>
      <x:c r="H20" s="26" t="str">
        <x:v>VERIFIED</x:v>
      </x:c>
      <x:c r="I20" s="26" t="str"/>
      <x:c r="J20" s="26" t="n">
        <x:v>2026</x:v>
      </x:c>
      <x:c r="K20" s="26" t="n">
        <x:v>2026</x:v>
      </x:c>
      <x:c r="L20" s="26" t="str">
        <x:v>TR</x:v>
      </x:c>
      <x:c r="M20" s="26" t="str"/>
      <x:c r="N20" s="26" t="str"/>
      <x:c r="O20" s="26" t="str"/>
      <x:c r="P20" s="26" t="str">
        <x:v>NONE</x:v>
      </x:c>
      <x:c r="Q20" s="26" t="str">
        <x:v>EXACT_SCALAR</x:v>
      </x:c>
      <x:c r="R20" s="26" t="str"/>
      <x:c r="S20" s="26" t="str"/>
      <x:c r="T20" s="26" t="str"/>
      <x:c r="U20" s="26" t="str"/>
      <x:c r="V20" s="26"/>
      <x:c r="W20" s="26"/>
      <x:c r="X20" s="26"/>
      <x:c r="Y20" s="26"/>
      <x:c r="Z20" s="26"/>
    </x:row>
    <x:row r="21">
      <x:c r="A21" s="26" t="str">
        <x:v>FAC-000020</x:v>
      </x:c>
      <x:c r="B21" s="26" t="str">
        <x:v>POWERTRAIN</x:v>
      </x:c>
      <x:c r="C21" s="26" t="str">
        <x:v>PWR-000003</x:v>
      </x:c>
      <x:c r="D21" s="26" t="str">
        <x:v>power_kw</x:v>
      </x:c>
      <x:c r="E21" s="26" t="str">
        <x:v>NUMBER</x:v>
      </x:c>
      <x:c r="F21" s="26" t="n">
        <x:v>103</x:v>
      </x:c>
      <x:c r="G21" s="26" t="str">
        <x:v>kW</x:v>
      </x:c>
      <x:c r="H21" s="26" t="str">
        <x:v>VERIFIED</x:v>
      </x:c>
      <x:c r="I21" s="26" t="str">
        <x:v>hybrid system maximum</x:v>
      </x:c>
      <x:c r="J21" s="26" t="n">
        <x:v>2026</x:v>
      </x:c>
      <x:c r="K21" s="26" t="n">
        <x:v>2026</x:v>
      </x:c>
      <x:c r="L21" s="26" t="str">
        <x:v>TR</x:v>
      </x:c>
      <x:c r="M21" s="26" t="str"/>
      <x:c r="N21" s="26" t="str"/>
      <x:c r="O21" s="26" t="str"/>
      <x:c r="P21" s="26" t="str">
        <x:v>NONE</x:v>
      </x:c>
      <x:c r="Q21" s="26" t="str">
        <x:v>EXACT_SCALAR</x:v>
      </x:c>
      <x:c r="R21" s="26" t="str"/>
      <x:c r="S21" s="26" t="str"/>
      <x:c r="T21" s="26" t="str"/>
      <x:c r="U21" s="26" t="str"/>
      <x:c r="V21" s="26"/>
      <x:c r="W21" s="26"/>
      <x:c r="X21" s="26"/>
      <x:c r="Y21" s="26"/>
      <x:c r="Z21" s="26"/>
    </x:row>
    <x:row r="22">
      <x:c r="A22" s="26" t="str">
        <x:v>FAC-000021</x:v>
      </x:c>
      <x:c r="B22" s="26" t="str">
        <x:v>POWERTRAIN</x:v>
      </x:c>
      <x:c r="C22" s="26" t="str">
        <x:v>PWR-000003</x:v>
      </x:c>
      <x:c r="D22" s="26" t="str">
        <x:v>engine_displacement_cc</x:v>
      </x:c>
      <x:c r="E22" s="26" t="str">
        <x:v>NUMBER</x:v>
      </x:c>
      <x:c r="F22" s="26" t="n">
        <x:v>1798</x:v>
      </x:c>
      <x:c r="G22" s="26" t="str">
        <x:v>cc</x:v>
      </x:c>
      <x:c r="H22" s="26" t="str">
        <x:v>VERIFIED</x:v>
      </x:c>
      <x:c r="I22" s="26" t="str"/>
      <x:c r="J22" s="26" t="n">
        <x:v>2026</x:v>
      </x:c>
      <x:c r="K22" s="26" t="n">
        <x:v>2026</x:v>
      </x:c>
      <x:c r="L22" s="26" t="str">
        <x:v>TR</x:v>
      </x:c>
      <x:c r="M22" s="26" t="str"/>
      <x:c r="N22" s="26" t="str"/>
      <x:c r="O22" s="26" t="str"/>
      <x:c r="P22" s="26" t="str">
        <x:v>NONE</x:v>
      </x:c>
      <x:c r="Q22" s="26" t="str">
        <x:v>EXACT_SCALAR</x:v>
      </x:c>
      <x:c r="R22" s="26" t="str"/>
      <x:c r="S22" s="26" t="str"/>
      <x:c r="T22" s="26" t="str"/>
      <x:c r="U22" s="26" t="str"/>
      <x:c r="V22" s="26"/>
      <x:c r="W22" s="26"/>
      <x:c r="X22" s="26"/>
      <x:c r="Y22" s="26"/>
      <x:c r="Z22" s="26"/>
    </x:row>
    <x:row r="23">
      <x:c r="A23" s="26" t="str">
        <x:v>FAC-000022</x:v>
      </x:c>
      <x:c r="B23" s="26" t="str">
        <x:v>GENERATION</x:v>
      </x:c>
      <x:c r="C23" s="26" t="str">
        <x:v>GEN-000003</x:v>
      </x:c>
      <x:c r="D23" s="26" t="str">
        <x:v>length_mm</x:v>
      </x:c>
      <x:c r="E23" s="26" t="str">
        <x:v>NUMBER</x:v>
      </x:c>
      <x:c r="F23" s="26" t="n">
        <x:v>4630</x:v>
      </x:c>
      <x:c r="G23" s="26" t="str">
        <x:v>mm</x:v>
      </x:c>
      <x:c r="H23" s="26" t="str">
        <x:v>VERIFIED</x:v>
      </x:c>
      <x:c r="I23" s="26" t="str"/>
      <x:c r="J23" s="26" t="n">
        <x:v>2026</x:v>
      </x:c>
      <x:c r="K23" s="26" t="n">
        <x:v>2026</x:v>
      </x:c>
      <x:c r="L23" s="26" t="str">
        <x:v>TR</x:v>
      </x:c>
      <x:c r="M23" s="26" t="str"/>
      <x:c r="N23" s="26" t="str"/>
      <x:c r="O23" s="26" t="str"/>
      <x:c r="P23" s="26" t="str">
        <x:v>NONE</x:v>
      </x:c>
      <x:c r="Q23" s="26" t="str">
        <x:v>EXACT_SCALAR</x:v>
      </x:c>
      <x:c r="R23" s="26" t="str"/>
      <x:c r="S23" s="26" t="str"/>
      <x:c r="T23" s="26" t="str"/>
      <x:c r="U23" s="26" t="str"/>
      <x:c r="V23" s="26"/>
      <x:c r="W23" s="26"/>
      <x:c r="X23" s="26"/>
      <x:c r="Y23" s="26"/>
      <x:c r="Z23" s="26"/>
    </x:row>
    <x:row r="24">
      <x:c r="A24" s="26" t="str">
        <x:v>FAC-000023</x:v>
      </x:c>
      <x:c r="B24" s="26" t="str">
        <x:v>GENERATION</x:v>
      </x:c>
      <x:c r="C24" s="26" t="str">
        <x:v>GEN-000003</x:v>
      </x:c>
      <x:c r="D24" s="26" t="str">
        <x:v>width_mm</x:v>
      </x:c>
      <x:c r="E24" s="26" t="str">
        <x:v>NUMBER</x:v>
      </x:c>
      <x:c r="F24" s="26" t="n">
        <x:v>1780</x:v>
      </x:c>
      <x:c r="G24" s="26" t="str">
        <x:v>mm</x:v>
      </x:c>
      <x:c r="H24" s="26" t="str">
        <x:v>VERIFIED</x:v>
      </x:c>
      <x:c r="I24" s="26" t="str"/>
      <x:c r="J24" s="26" t="n">
        <x:v>2026</x:v>
      </x:c>
      <x:c r="K24" s="26" t="n">
        <x:v>2026</x:v>
      </x:c>
      <x:c r="L24" s="26" t="str">
        <x:v>TR</x:v>
      </x:c>
      <x:c r="M24" s="26" t="str"/>
      <x:c r="N24" s="26" t="str"/>
      <x:c r="O24" s="26" t="str"/>
      <x:c r="P24" s="26" t="str">
        <x:v>NONE</x:v>
      </x:c>
      <x:c r="Q24" s="26" t="str">
        <x:v>EXACT_SCALAR</x:v>
      </x:c>
      <x:c r="R24" s="26" t="str"/>
      <x:c r="S24" s="26" t="str"/>
      <x:c r="T24" s="26" t="str"/>
      <x:c r="U24" s="26" t="str"/>
      <x:c r="V24" s="26"/>
      <x:c r="W24" s="26"/>
      <x:c r="X24" s="26"/>
      <x:c r="Y24" s="26"/>
      <x:c r="Z24" s="26"/>
    </x:row>
    <x:row r="25">
      <x:c r="A25" s="26" t="str">
        <x:v>FAC-000024</x:v>
      </x:c>
      <x:c r="B25" s="26" t="str">
        <x:v>GENERATION</x:v>
      </x:c>
      <x:c r="C25" s="26" t="str">
        <x:v>GEN-000003</x:v>
      </x:c>
      <x:c r="D25" s="26" t="str">
        <x:v>height_mm</x:v>
      </x:c>
      <x:c r="E25" s="26" t="str">
        <x:v>NUMBER</x:v>
      </x:c>
      <x:c r="F25" s="26" t="n">
        <x:v>1435</x:v>
      </x:c>
      <x:c r="G25" s="26" t="str">
        <x:v>mm</x:v>
      </x:c>
      <x:c r="H25" s="26" t="str">
        <x:v>VERIFIED</x:v>
      </x:c>
      <x:c r="I25" s="26" t="str"/>
      <x:c r="J25" s="26" t="n">
        <x:v>2026</x:v>
      </x:c>
      <x:c r="K25" s="26" t="n">
        <x:v>2026</x:v>
      </x:c>
      <x:c r="L25" s="26" t="str">
        <x:v>TR</x:v>
      </x:c>
      <x:c r="M25" s="26" t="str"/>
      <x:c r="N25" s="26" t="str"/>
      <x:c r="O25" s="26" t="str"/>
      <x:c r="P25" s="26" t="str">
        <x:v>NONE</x:v>
      </x:c>
      <x:c r="Q25" s="26" t="str">
        <x:v>EXACT_SCALAR</x:v>
      </x:c>
      <x:c r="R25" s="26" t="str"/>
      <x:c r="S25" s="26" t="str"/>
      <x:c r="T25" s="26" t="str"/>
      <x:c r="U25" s="26" t="str"/>
      <x:c r="V25" s="26"/>
      <x:c r="W25" s="26"/>
      <x:c r="X25" s="26"/>
      <x:c r="Y25" s="26"/>
      <x:c r="Z25" s="26"/>
    </x:row>
    <x:row r="26">
      <x:c r="A26" s="26" t="str">
        <x:v>FAC-000025</x:v>
      </x:c>
      <x:c r="B26" s="26" t="str">
        <x:v>GENERATION</x:v>
      </x:c>
      <x:c r="C26" s="26" t="str">
        <x:v>GEN-000003</x:v>
      </x:c>
      <x:c r="D26" s="26" t="str">
        <x:v>wheelbase_mm</x:v>
      </x:c>
      <x:c r="E26" s="26" t="str">
        <x:v>NUMBER</x:v>
      </x:c>
      <x:c r="F26" s="26" t="n">
        <x:v>2700</x:v>
      </x:c>
      <x:c r="G26" s="26" t="str">
        <x:v>mm</x:v>
      </x:c>
      <x:c r="H26" s="26" t="str">
        <x:v>VERIFIED</x:v>
      </x:c>
      <x:c r="I26" s="26" t="str"/>
      <x:c r="J26" s="26" t="n">
        <x:v>2026</x:v>
      </x:c>
      <x:c r="K26" s="26" t="n">
        <x:v>2026</x:v>
      </x:c>
      <x:c r="L26" s="26" t="str">
        <x:v>TR</x:v>
      </x:c>
      <x:c r="M26" s="26" t="str"/>
      <x:c r="N26" s="26" t="str"/>
      <x:c r="O26" s="26" t="str"/>
      <x:c r="P26" s="26" t="str">
        <x:v>NONE</x:v>
      </x:c>
      <x:c r="Q26" s="26" t="str">
        <x:v>EXACT_SCALAR</x:v>
      </x:c>
      <x:c r="R26" s="26" t="str"/>
      <x:c r="S26" s="26" t="str"/>
      <x:c r="T26" s="26" t="str"/>
      <x:c r="U26" s="26" t="str"/>
      <x:c r="V26" s="26"/>
      <x:c r="W26" s="26"/>
      <x:c r="X26" s="26"/>
      <x:c r="Y26" s="26"/>
      <x:c r="Z26" s="26"/>
    </x:row>
    <x:row r="27">
      <x:c r="A27" s="26" t="str">
        <x:v>FAC-000026</x:v>
      </x:c>
      <x:c r="B27" s="26" t="str">
        <x:v>GENERATION</x:v>
      </x:c>
      <x:c r="C27" s="26" t="str">
        <x:v>GEN-000003</x:v>
      </x:c>
      <x:c r="D27" s="26" t="str">
        <x:v>cargo_volume_l</x:v>
      </x:c>
      <x:c r="E27" s="26" t="str">
        <x:v>NUMBER</x:v>
      </x:c>
      <x:c r="F27" s="26" t="n">
        <x:v>471</x:v>
      </x:c>
      <x:c r="G27" s="26" t="str">
        <x:v>L</x:v>
      </x:c>
      <x:c r="H27" s="26" t="str">
        <x:v>VERIFIED</x:v>
      </x:c>
      <x:c r="I27" s="26" t="str"/>
      <x:c r="J27" s="26" t="n">
        <x:v>2026</x:v>
      </x:c>
      <x:c r="K27" s="26" t="n">
        <x:v>2026</x:v>
      </x:c>
      <x:c r="L27" s="26" t="str">
        <x:v>TR</x:v>
      </x:c>
      <x:c r="M27" s="26" t="str"/>
      <x:c r="N27" s="26" t="str"/>
      <x:c r="O27" s="26" t="str"/>
      <x:c r="P27" s="26" t="str">
        <x:v>NONE</x:v>
      </x:c>
      <x:c r="Q27" s="26" t="str">
        <x:v>EXACT_SCALAR</x:v>
      </x:c>
      <x:c r="R27" s="26" t="str"/>
      <x:c r="S27" s="26" t="str"/>
      <x:c r="T27" s="26" t="str"/>
      <x:c r="U27" s="26" t="str"/>
      <x:c r="V27" s="26"/>
      <x:c r="W27" s="26"/>
      <x:c r="X27" s="26"/>
      <x:c r="Y27" s="26"/>
      <x:c r="Z27" s="26"/>
    </x:row>
    <x:row r="28">
      <x:c r="A28" s="26" t="str">
        <x:v>FAC-000027</x:v>
      </x:c>
      <x:c r="B28" s="26" t="str">
        <x:v>POWERTRAIN</x:v>
      </x:c>
      <x:c r="C28" s="26" t="str">
        <x:v>PWR-000003</x:v>
      </x:c>
      <x:c r="D28" s="26" t="str">
        <x:v>fuel_tank_l</x:v>
      </x:c>
      <x:c r="E28" s="26" t="str">
        <x:v>NUMBER</x:v>
      </x:c>
      <x:c r="F28" s="26" t="n">
        <x:v>43</x:v>
      </x:c>
      <x:c r="G28" s="26" t="str">
        <x:v>L</x:v>
      </x:c>
      <x:c r="H28" s="26" t="str">
        <x:v>VERIFIED</x:v>
      </x:c>
      <x:c r="I28" s="26" t="str">
        <x:v>hybrid</x:v>
      </x:c>
      <x:c r="J28" s="26" t="n">
        <x:v>2026</x:v>
      </x:c>
      <x:c r="K28" s="26" t="n">
        <x:v>2026</x:v>
      </x:c>
      <x:c r="L28" s="26" t="str">
        <x:v>TR</x:v>
      </x:c>
      <x:c r="M28" s="26" t="str"/>
      <x:c r="N28" s="26" t="str"/>
      <x:c r="O28" s="26" t="str"/>
      <x:c r="P28" s="26" t="str">
        <x:v>NONE</x:v>
      </x:c>
      <x:c r="Q28" s="26" t="str">
        <x:v>EXACT_SCALAR</x:v>
      </x:c>
      <x:c r="R28" s="26" t="str"/>
      <x:c r="S28" s="26" t="str"/>
      <x:c r="T28" s="26" t="str"/>
      <x:c r="U28" s="26" t="str"/>
      <x:c r="V28" s="26"/>
      <x:c r="W28" s="26"/>
      <x:c r="X28" s="26"/>
      <x:c r="Y28" s="26"/>
      <x:c r="Z28" s="26"/>
    </x:row>
    <x:row r="29">
      <x:c r="A29" s="26" t="str">
        <x:v>FAC-000028</x:v>
      </x:c>
      <x:c r="B29" s="26" t="str">
        <x:v>POWERTRAIN</x:v>
      </x:c>
      <x:c r="C29" s="26" t="str">
        <x:v>PWR-000003</x:v>
      </x:c>
      <x:c r="D29" s="26" t="str">
        <x:v>official_fuel_consumption_combined</x:v>
      </x:c>
      <x:c r="E29" s="26" t="str">
        <x:v>NUMBER</x:v>
      </x:c>
      <x:c r="F29" s="26" t="str"/>
      <x:c r="G29" s="26" t="str">
        <x:v>L/100km</x:v>
      </x:c>
      <x:c r="H29" s="26" t="str">
        <x:v>VERIFIED</x:v>
      </x:c>
      <x:c r="I29" s="26" t="str">
        <x:v>WLTP combined, trim-dependent</x:v>
      </x:c>
      <x:c r="J29" s="26" t="n">
        <x:v>2026</x:v>
      </x:c>
      <x:c r="K29" s="26" t="n">
        <x:v>2026</x:v>
      </x:c>
      <x:c r="L29" s="26" t="str">
        <x:v>TR</x:v>
      </x:c>
      <x:c r="M29" s="26" t="str">
        <x:v>Pilot reveals need for native numeric range representation.</x:v>
      </x:c>
      <x:c r="N29" s="26" t="n">
        <x:v>4.5</x:v>
      </x:c>
      <x:c r="O29" s="26" t="n">
        <x:v>4.7</x:v>
      </x:c>
      <x:c r="P29" s="26" t="str">
        <x:v>MIN_MAX</x:v>
      </x:c>
      <x:c r="Q29" s="26" t="str">
        <x:v>EXACT_RANGE</x:v>
      </x:c>
      <x:c r="R29" s="26" t="str">
        <x:v>4.5–4.7</x:v>
      </x:c>
      <x:c r="S29" s="26" t="str"/>
      <x:c r="T29" s="26" t="str"/>
      <x:c r="U29" s="26" t="str"/>
      <x:c r="V29" s="26"/>
      <x:c r="W29" s="26"/>
      <x:c r="X29" s="26"/>
      <x:c r="Y29" s="26"/>
      <x:c r="Z29" s="26"/>
    </x:row>
    <x:row r="30">
      <x:c r="A30" s="26" t="str">
        <x:v>FAC-000029</x:v>
      </x:c>
      <x:c r="B30" s="26" t="str">
        <x:v>POWERTRAIN</x:v>
      </x:c>
      <x:c r="C30" s="26" t="str">
        <x:v>PWR-000004</x:v>
      </x:c>
      <x:c r="D30" s="26" t="str">
        <x:v>engine_displacement_cc</x:v>
      </x:c>
      <x:c r="E30" s="26" t="str">
        <x:v>NUMBER</x:v>
      </x:c>
      <x:c r="F30" s="26" t="n">
        <x:v>1373</x:v>
      </x:c>
      <x:c r="G30" s="26" t="str">
        <x:v>cc</x:v>
      </x:c>
      <x:c r="H30" s="26" t="str">
        <x:v>VERIFIED</x:v>
      </x:c>
      <x:c r="I30" s="26" t="str"/>
      <x:c r="J30" s="26" t="n">
        <x:v>2026</x:v>
      </x:c>
      <x:c r="K30" s="26" t="n">
        <x:v>2026</x:v>
      </x:c>
      <x:c r="L30" s="26" t="str">
        <x:v>TR</x:v>
      </x:c>
      <x:c r="M30" s="26" t="str"/>
      <x:c r="N30" s="26" t="str"/>
      <x:c r="O30" s="26" t="str"/>
      <x:c r="P30" s="26" t="str">
        <x:v>NONE</x:v>
      </x:c>
      <x:c r="Q30" s="26" t="str">
        <x:v>EXACT_SCALAR</x:v>
      </x:c>
      <x:c r="R30" s="26" t="str"/>
      <x:c r="S30" s="26" t="str"/>
      <x:c r="T30" s="26" t="str"/>
      <x:c r="U30" s="26" t="str"/>
      <x:c r="V30" s="26"/>
      <x:c r="W30" s="26"/>
      <x:c r="X30" s="26"/>
      <x:c r="Y30" s="26"/>
      <x:c r="Z30" s="26"/>
    </x:row>
    <x:row r="31">
      <x:c r="A31" s="26" t="str">
        <x:v>FAC-000030</x:v>
      </x:c>
      <x:c r="B31" s="26" t="str">
        <x:v>POWERTRAIN</x:v>
      </x:c>
      <x:c r="C31" s="26" t="str">
        <x:v>PWR-000004</x:v>
      </x:c>
      <x:c r="D31" s="26" t="str">
        <x:v>torque_nm</x:v>
      </x:c>
      <x:c r="E31" s="26" t="str">
        <x:v>NUMBER</x:v>
      </x:c>
      <x:c r="F31" s="26" t="n">
        <x:v>235</x:v>
      </x:c>
      <x:c r="G31" s="26" t="str">
        <x:v>Nm</x:v>
      </x:c>
      <x:c r="H31" s="26" t="str">
        <x:v>VERIFIED</x:v>
      </x:c>
      <x:c r="I31" s="26" t="str"/>
      <x:c r="J31" s="26" t="n">
        <x:v>2026</x:v>
      </x:c>
      <x:c r="K31" s="26" t="n">
        <x:v>2026</x:v>
      </x:c>
      <x:c r="L31" s="26" t="str">
        <x:v>TR</x:v>
      </x:c>
      <x:c r="M31" s="26" t="str"/>
      <x:c r="N31" s="26" t="str"/>
      <x:c r="O31" s="26" t="str"/>
      <x:c r="P31" s="26" t="str">
        <x:v>NONE</x:v>
      </x:c>
      <x:c r="Q31" s="26" t="str">
        <x:v>EXACT_SCALAR</x:v>
      </x:c>
      <x:c r="R31" s="26" t="str"/>
      <x:c r="S31" s="26" t="str"/>
      <x:c r="T31" s="26" t="str"/>
      <x:c r="U31" s="26" t="str"/>
      <x:c r="V31" s="26"/>
      <x:c r="W31" s="26"/>
      <x:c r="X31" s="26"/>
      <x:c r="Y31" s="26"/>
      <x:c r="Z31" s="26"/>
    </x:row>
    <x:row r="32">
      <x:c r="A32" s="26" t="str">
        <x:v>FAC-000031</x:v>
      </x:c>
      <x:c r="B32" s="26" t="str">
        <x:v>GENERATION</x:v>
      </x:c>
      <x:c r="C32" s="26" t="str">
        <x:v>GEN-000004</x:v>
      </x:c>
      <x:c r="D32" s="26" t="str">
        <x:v>length_mm</x:v>
      </x:c>
      <x:c r="E32" s="26" t="str">
        <x:v>NUMBER</x:v>
      </x:c>
      <x:c r="F32" s="26" t="n">
        <x:v>4185</x:v>
      </x:c>
      <x:c r="G32" s="26" t="str">
        <x:v>mm</x:v>
      </x:c>
      <x:c r="H32" s="26" t="str">
        <x:v>VERIFIED</x:v>
      </x:c>
      <x:c r="I32" s="26" t="str"/>
      <x:c r="J32" s="26" t="n">
        <x:v>2026</x:v>
      </x:c>
      <x:c r="K32" s="26" t="n">
        <x:v>2026</x:v>
      </x:c>
      <x:c r="L32" s="26" t="str">
        <x:v>TR</x:v>
      </x:c>
      <x:c r="M32" s="26" t="str"/>
      <x:c r="N32" s="26" t="str"/>
      <x:c r="O32" s="26" t="str"/>
      <x:c r="P32" s="26" t="str">
        <x:v>NONE</x:v>
      </x:c>
      <x:c r="Q32" s="26" t="str">
        <x:v>EXACT_SCALAR</x:v>
      </x:c>
      <x:c r="R32" s="26" t="str"/>
      <x:c r="S32" s="26" t="str"/>
      <x:c r="T32" s="26" t="str"/>
      <x:c r="U32" s="26" t="str"/>
      <x:c r="V32" s="26"/>
      <x:c r="W32" s="26"/>
      <x:c r="X32" s="26"/>
      <x:c r="Y32" s="26"/>
      <x:c r="Z32" s="26"/>
    </x:row>
    <x:row r="33">
      <x:c r="A33" s="26" t="str">
        <x:v>FAC-000032</x:v>
      </x:c>
      <x:c r="B33" s="26" t="str">
        <x:v>GENERATION</x:v>
      </x:c>
      <x:c r="C33" s="26" t="str">
        <x:v>GEN-000004</x:v>
      </x:c>
      <x:c r="D33" s="26" t="str">
        <x:v>width_mm</x:v>
      </x:c>
      <x:c r="E33" s="26" t="str">
        <x:v>NUMBER</x:v>
      </x:c>
      <x:c r="F33" s="26" t="n">
        <x:v>1775</x:v>
      </x:c>
      <x:c r="G33" s="26" t="str">
        <x:v>mm</x:v>
      </x:c>
      <x:c r="H33" s="26" t="str">
        <x:v>VERIFIED</x:v>
      </x:c>
      <x:c r="I33" s="26" t="str"/>
      <x:c r="J33" s="26" t="n">
        <x:v>2026</x:v>
      </x:c>
      <x:c r="K33" s="26" t="n">
        <x:v>2026</x:v>
      </x:c>
      <x:c r="L33" s="26" t="str">
        <x:v>TR</x:v>
      </x:c>
      <x:c r="M33" s="26" t="str"/>
      <x:c r="N33" s="26" t="str"/>
      <x:c r="O33" s="26" t="str"/>
      <x:c r="P33" s="26" t="str">
        <x:v>NONE</x:v>
      </x:c>
      <x:c r="Q33" s="26" t="str">
        <x:v>EXACT_SCALAR</x:v>
      </x:c>
      <x:c r="R33" s="26" t="str"/>
      <x:c r="S33" s="26" t="str"/>
      <x:c r="T33" s="26" t="str"/>
      <x:c r="U33" s="26" t="str"/>
      <x:c r="V33" s="26"/>
      <x:c r="W33" s="26"/>
      <x:c r="X33" s="26"/>
      <x:c r="Y33" s="26"/>
      <x:c r="Z33" s="26"/>
    </x:row>
    <x:row r="34">
      <x:c r="A34" s="26" t="str">
        <x:v>FAC-000033</x:v>
      </x:c>
      <x:c r="B34" s="26" t="str">
        <x:v>GENERATION</x:v>
      </x:c>
      <x:c r="C34" s="26" t="str">
        <x:v>GEN-000004</x:v>
      </x:c>
      <x:c r="D34" s="26" t="str">
        <x:v>height_mm</x:v>
      </x:c>
      <x:c r="E34" s="26" t="str">
        <x:v>NUMBER</x:v>
      </x:c>
      <x:c r="F34" s="26" t="n">
        <x:v>1600</x:v>
      </x:c>
      <x:c r="G34" s="26" t="str">
        <x:v>mm</x:v>
      </x:c>
      <x:c r="H34" s="26" t="str">
        <x:v>VERIFIED</x:v>
      </x:c>
      <x:c r="I34" s="26" t="str"/>
      <x:c r="J34" s="26" t="n">
        <x:v>2026</x:v>
      </x:c>
      <x:c r="K34" s="26" t="n">
        <x:v>2026</x:v>
      </x:c>
      <x:c r="L34" s="26" t="str">
        <x:v>TR</x:v>
      </x:c>
      <x:c r="M34" s="26" t="str"/>
      <x:c r="N34" s="26" t="str"/>
      <x:c r="O34" s="26" t="str"/>
      <x:c r="P34" s="26" t="str">
        <x:v>NONE</x:v>
      </x:c>
      <x:c r="Q34" s="26" t="str">
        <x:v>EXACT_SCALAR</x:v>
      </x:c>
      <x:c r="R34" s="26" t="str"/>
      <x:c r="S34" s="26" t="str"/>
      <x:c r="T34" s="26" t="str"/>
      <x:c r="U34" s="26" t="str"/>
      <x:c r="V34" s="26"/>
      <x:c r="W34" s="26"/>
      <x:c r="X34" s="26"/>
      <x:c r="Y34" s="26"/>
      <x:c r="Z34" s="26"/>
    </x:row>
    <x:row r="35">
      <x:c r="A35" s="26" t="str">
        <x:v>FAC-000034</x:v>
      </x:c>
      <x:c r="B35" s="26" t="str">
        <x:v>GENERATION</x:v>
      </x:c>
      <x:c r="C35" s="26" t="str">
        <x:v>GEN-000004</x:v>
      </x:c>
      <x:c r="D35" s="26" t="str">
        <x:v>wheelbase_mm</x:v>
      </x:c>
      <x:c r="E35" s="26" t="str">
        <x:v>NUMBER</x:v>
      </x:c>
      <x:c r="F35" s="26" t="n">
        <x:v>2500</x:v>
      </x:c>
      <x:c r="G35" s="26" t="str">
        <x:v>mm</x:v>
      </x:c>
      <x:c r="H35" s="26" t="str">
        <x:v>VERIFIED</x:v>
      </x:c>
      <x:c r="I35" s="26" t="str"/>
      <x:c r="J35" s="26" t="n">
        <x:v>2026</x:v>
      </x:c>
      <x:c r="K35" s="26" t="n">
        <x:v>2026</x:v>
      </x:c>
      <x:c r="L35" s="26" t="str">
        <x:v>TR</x:v>
      </x:c>
      <x:c r="M35" s="26" t="str"/>
      <x:c r="N35" s="26" t="str"/>
      <x:c r="O35" s="26" t="str"/>
      <x:c r="P35" s="26" t="str">
        <x:v>NONE</x:v>
      </x:c>
      <x:c r="Q35" s="26" t="str">
        <x:v>EXACT_SCALAR</x:v>
      </x:c>
      <x:c r="R35" s="26" t="str"/>
      <x:c r="S35" s="26" t="str"/>
      <x:c r="T35" s="26" t="str"/>
      <x:c r="U35" s="26" t="str"/>
      <x:c r="V35" s="26"/>
      <x:c r="W35" s="26"/>
      <x:c r="X35" s="26"/>
      <x:c r="Y35" s="26"/>
      <x:c r="Z35" s="26"/>
    </x:row>
    <x:row r="36">
      <x:c r="A36" s="26" t="str">
        <x:v>FAC-000035</x:v>
      </x:c>
      <x:c r="B36" s="26" t="str">
        <x:v>CONFIGURATION</x:v>
      </x:c>
      <x:c r="C36" s="26" t="str">
        <x:v>CFG-000004</x:v>
      </x:c>
      <x:c r="D36" s="26" t="str">
        <x:v>ground_clearance_mm</x:v>
      </x:c>
      <x:c r="E36" s="26" t="str">
        <x:v>NUMBER</x:v>
      </x:c>
      <x:c r="F36" s="26" t="n">
        <x:v>175</x:v>
      </x:c>
      <x:c r="G36" s="26" t="str">
        <x:v>mm</x:v>
      </x:c>
      <x:c r="H36" s="26" t="str">
        <x:v>VERIFIED</x:v>
      </x:c>
      <x:c r="I36" s="26" t="str"/>
      <x:c r="J36" s="26" t="n">
        <x:v>2026</x:v>
      </x:c>
      <x:c r="K36" s="26" t="n">
        <x:v>2026</x:v>
      </x:c>
      <x:c r="L36" s="26" t="str">
        <x:v>TR</x:v>
      </x:c>
      <x:c r="M36" s="26" t="str"/>
      <x:c r="N36" s="26" t="str"/>
      <x:c r="O36" s="26" t="str"/>
      <x:c r="P36" s="26" t="str">
        <x:v>NONE</x:v>
      </x:c>
      <x:c r="Q36" s="26" t="str">
        <x:v>EXACT_SCALAR</x:v>
      </x:c>
      <x:c r="R36" s="26" t="str"/>
      <x:c r="S36" s="26" t="str"/>
      <x:c r="T36" s="26" t="str"/>
      <x:c r="U36" s="26" t="str"/>
      <x:c r="V36" s="26"/>
      <x:c r="W36" s="26"/>
      <x:c r="X36" s="26"/>
      <x:c r="Y36" s="26"/>
      <x:c r="Z36" s="26"/>
    </x:row>
    <x:row r="37">
      <x:c r="A37" s="26" t="str">
        <x:v>FAC-000036</x:v>
      </x:c>
      <x:c r="B37" s="26" t="str">
        <x:v>GENERATION</x:v>
      </x:c>
      <x:c r="C37" s="26" t="str">
        <x:v>GEN-000004</x:v>
      </x:c>
      <x:c r="D37" s="26" t="str">
        <x:v>cargo_volume_l</x:v>
      </x:c>
      <x:c r="E37" s="26" t="str">
        <x:v>NUMBER</x:v>
      </x:c>
      <x:c r="F37" s="26" t="n">
        <x:v>362</x:v>
      </x:c>
      <x:c r="G37" s="26" t="str">
        <x:v>L</x:v>
      </x:c>
      <x:c r="H37" s="26" t="str">
        <x:v>VERIFIED</x:v>
      </x:c>
      <x:c r="I37" s="26" t="str">
        <x:v>rear seats upright</x:v>
      </x:c>
      <x:c r="J37" s="26" t="n">
        <x:v>2026</x:v>
      </x:c>
      <x:c r="K37" s="26" t="n">
        <x:v>2026</x:v>
      </x:c>
      <x:c r="L37" s="26" t="str">
        <x:v>TR</x:v>
      </x:c>
      <x:c r="M37" s="26" t="str"/>
      <x:c r="N37" s="26" t="str"/>
      <x:c r="O37" s="26" t="str"/>
      <x:c r="P37" s="26" t="str">
        <x:v>NONE</x:v>
      </x:c>
      <x:c r="Q37" s="26" t="str">
        <x:v>EXACT_SCALAR</x:v>
      </x:c>
      <x:c r="R37" s="26" t="str"/>
      <x:c r="S37" s="26" t="str"/>
      <x:c r="T37" s="26" t="str"/>
      <x:c r="U37" s="26" t="str"/>
      <x:c r="V37" s="26"/>
      <x:c r="W37" s="26"/>
      <x:c r="X37" s="26"/>
      <x:c r="Y37" s="26"/>
      <x:c r="Z37" s="26"/>
    </x:row>
    <x:row r="38">
      <x:c r="A38" s="26" t="str">
        <x:v>FAC-000037</x:v>
      </x:c>
      <x:c r="B38" s="26" t="str">
        <x:v>GENERATION</x:v>
      </x:c>
      <x:c r="C38" s="26" t="str">
        <x:v>GEN-000004</x:v>
      </x:c>
      <x:c r="D38" s="26" t="str">
        <x:v>cargo_volume_max_l</x:v>
      </x:c>
      <x:c r="E38" s="26" t="str">
        <x:v>NUMBER</x:v>
      </x:c>
      <x:c r="F38" s="26" t="n">
        <x:v>1119</x:v>
      </x:c>
      <x:c r="G38" s="26" t="str">
        <x:v>L</x:v>
      </x:c>
      <x:c r="H38" s="26" t="str">
        <x:v>VERIFIED</x:v>
      </x:c>
      <x:c r="I38" s="26" t="str">
        <x:v>maximum capacity</x:v>
      </x:c>
      <x:c r="J38" s="26" t="n">
        <x:v>2026</x:v>
      </x:c>
      <x:c r="K38" s="26" t="n">
        <x:v>2026</x:v>
      </x:c>
      <x:c r="L38" s="26" t="str">
        <x:v>TR</x:v>
      </x:c>
      <x:c r="M38" s="26" t="str"/>
      <x:c r="N38" s="26" t="str"/>
      <x:c r="O38" s="26" t="str"/>
      <x:c r="P38" s="26" t="str">
        <x:v>NONE</x:v>
      </x:c>
      <x:c r="Q38" s="26" t="str">
        <x:v>EXACT_SCALAR</x:v>
      </x:c>
      <x:c r="R38" s="26" t="str"/>
      <x:c r="S38" s="26" t="str"/>
      <x:c r="T38" s="26" t="str"/>
      <x:c r="U38" s="26" t="str"/>
      <x:c r="V38" s="26"/>
      <x:c r="W38" s="26"/>
      <x:c r="X38" s="26"/>
      <x:c r="Y38" s="26"/>
      <x:c r="Z38" s="26"/>
    </x:row>
    <x:row r="39">
      <x:c r="A39" s="26" t="str">
        <x:v>FAC-000038</x:v>
      </x:c>
      <x:c r="B39" s="26" t="str">
        <x:v>POWERTRAIN</x:v>
      </x:c>
      <x:c r="C39" s="26" t="str">
        <x:v>PWR-000004</x:v>
      </x:c>
      <x:c r="D39" s="26" t="str">
        <x:v>fuel_tank_l</x:v>
      </x:c>
      <x:c r="E39" s="26" t="str">
        <x:v>NUMBER</x:v>
      </x:c>
      <x:c r="F39" s="26" t="n">
        <x:v>47</x:v>
      </x:c>
      <x:c r="G39" s="26" t="str">
        <x:v>L</x:v>
      </x:c>
      <x:c r="H39" s="26" t="str">
        <x:v>VERIFIED</x:v>
      </x:c>
      <x:c r="I39" s="26" t="str"/>
      <x:c r="J39" s="26" t="n">
        <x:v>2026</x:v>
      </x:c>
      <x:c r="K39" s="26" t="n">
        <x:v>2026</x:v>
      </x:c>
      <x:c r="L39" s="26" t="str">
        <x:v>TR</x:v>
      </x:c>
      <x:c r="M39" s="26" t="str"/>
      <x:c r="N39" s="26" t="str"/>
      <x:c r="O39" s="26" t="str"/>
      <x:c r="P39" s="26" t="str">
        <x:v>NONE</x:v>
      </x:c>
      <x:c r="Q39" s="26" t="str">
        <x:v>EXACT_SCALAR</x:v>
      </x:c>
      <x:c r="R39" s="26" t="str"/>
      <x:c r="S39" s="26" t="str"/>
      <x:c r="T39" s="26" t="str"/>
      <x:c r="U39" s="26" t="str"/>
      <x:c r="V39" s="26"/>
      <x:c r="W39" s="26"/>
      <x:c r="X39" s="26"/>
      <x:c r="Y39" s="26"/>
      <x:c r="Z39" s="26"/>
    </x:row>
    <x:row r="40">
      <x:c r="A40" s="26" t="str">
        <x:v>FAC-000039</x:v>
      </x:c>
      <x:c r="B40" s="26" t="str">
        <x:v>POWERTRAIN</x:v>
      </x:c>
      <x:c r="C40" s="26" t="str">
        <x:v>PWR-000004</x:v>
      </x:c>
      <x:c r="D40" s="26" t="str">
        <x:v>official_fuel_consumption_combined</x:v>
      </x:c>
      <x:c r="E40" s="26" t="str">
        <x:v>NUMBER</x:v>
      </x:c>
      <x:c r="F40" s="26" t="n">
        <x:v>5.8</x:v>
      </x:c>
      <x:c r="G40" s="26" t="str">
        <x:v>L/100km</x:v>
      </x:c>
      <x:c r="H40" s="26" t="str">
        <x:v>VERIFIED</x:v>
      </x:c>
      <x:c r="I40" s="26" t="str">
        <x:v>AllGrip 4x4 column</x:v>
      </x:c>
      <x:c r="J40" s="26" t="n">
        <x:v>2026</x:v>
      </x:c>
      <x:c r="K40" s="26" t="n">
        <x:v>2026</x:v>
      </x:c>
      <x:c r="L40" s="26" t="str">
        <x:v>TR</x:v>
      </x:c>
      <x:c r="M40" s="26" t="str"/>
      <x:c r="N40" s="26" t="str"/>
      <x:c r="O40" s="26" t="str"/>
      <x:c r="P40" s="26" t="str">
        <x:v>NONE</x:v>
      </x:c>
      <x:c r="Q40" s="26" t="str">
        <x:v>EXACT_SCALAR</x:v>
      </x:c>
      <x:c r="R40" s="26" t="str"/>
      <x:c r="S40" s="26" t="str"/>
      <x:c r="T40" s="26" t="str"/>
      <x:c r="U40" s="26" t="str"/>
      <x:c r="V40" s="26"/>
      <x:c r="W40" s="26"/>
      <x:c r="X40" s="26"/>
      <x:c r="Y40" s="26"/>
      <x:c r="Z40" s="26"/>
    </x:row>
    <x:row r="41">
      <x:c r="A41" s="26" t="str">
        <x:v>FAC-000040</x:v>
      </x:c>
      <x:c r="B41" s="26" t="str">
        <x:v>POWERTRAIN</x:v>
      </x:c>
      <x:c r="C41" s="26" t="str">
        <x:v>PWR-000005</x:v>
      </x:c>
      <x:c r="D41" s="26" t="str">
        <x:v>engine_displacement_cc</x:v>
      </x:c>
      <x:c r="E41" s="26" t="str">
        <x:v>NUMBER</x:v>
      </x:c>
      <x:c r="F41" s="26" t="n">
        <x:v>1498</x:v>
      </x:c>
      <x:c r="G41" s="26" t="str">
        <x:v>cc</x:v>
      </x:c>
      <x:c r="H41" s="26" t="str">
        <x:v>VERIFIED</x:v>
      </x:c>
      <x:c r="I41" s="26" t="str"/>
      <x:c r="J41" s="26" t="n">
        <x:v>2026</x:v>
      </x:c>
      <x:c r="K41" s="26" t="n">
        <x:v>2026</x:v>
      </x:c>
      <x:c r="L41" s="26" t="str">
        <x:v>TR</x:v>
      </x:c>
      <x:c r="M41" s="26" t="str"/>
      <x:c r="N41" s="26" t="str"/>
      <x:c r="O41" s="26" t="str"/>
      <x:c r="P41" s="26" t="str">
        <x:v>NONE</x:v>
      </x:c>
      <x:c r="Q41" s="26" t="str">
        <x:v>EXACT_SCALAR</x:v>
      </x:c>
      <x:c r="R41" s="26" t="str"/>
      <x:c r="S41" s="26" t="str"/>
      <x:c r="T41" s="26" t="str"/>
      <x:c r="U41" s="26" t="str"/>
      <x:c r="V41" s="26"/>
      <x:c r="W41" s="26"/>
      <x:c r="X41" s="26"/>
      <x:c r="Y41" s="26"/>
      <x:c r="Z41" s="26"/>
    </x:row>
    <x:row r="42">
      <x:c r="A42" s="26" t="str">
        <x:v>FAC-000041</x:v>
      </x:c>
      <x:c r="B42" s="26" t="str">
        <x:v>POWERTRAIN</x:v>
      </x:c>
      <x:c r="C42" s="26" t="str">
        <x:v>PWR-000005</x:v>
      </x:c>
      <x:c r="D42" s="26" t="str">
        <x:v>power_kw</x:v>
      </x:c>
      <x:c r="E42" s="26" t="str">
        <x:v>NUMBER</x:v>
      </x:c>
      <x:c r="F42" s="26" t="n">
        <x:v>160</x:v>
      </x:c>
      <x:c r="G42" s="26" t="str">
        <x:v>kW</x:v>
      </x:c>
      <x:c r="H42" s="26" t="str">
        <x:v>VERIFIED</x:v>
      </x:c>
      <x:c r="I42" s="26" t="str">
        <x:v>maximum system power</x:v>
      </x:c>
      <x:c r="J42" s="26" t="n">
        <x:v>2026</x:v>
      </x:c>
      <x:c r="K42" s="26" t="n">
        <x:v>2026</x:v>
      </x:c>
      <x:c r="L42" s="26" t="str">
        <x:v>TR</x:v>
      </x:c>
      <x:c r="M42" s="26" t="str"/>
      <x:c r="N42" s="26" t="str"/>
      <x:c r="O42" s="26" t="str"/>
      <x:c r="P42" s="26" t="str">
        <x:v>NONE</x:v>
      </x:c>
      <x:c r="Q42" s="26" t="str">
        <x:v>EXACT_SCALAR</x:v>
      </x:c>
      <x:c r="R42" s="26" t="str"/>
      <x:c r="S42" s="26" t="str"/>
      <x:c r="T42" s="26" t="str"/>
      <x:c r="U42" s="26" t="str"/>
      <x:c r="V42" s="26"/>
      <x:c r="W42" s="26"/>
      <x:c r="X42" s="26"/>
      <x:c r="Y42" s="26"/>
      <x:c r="Z42" s="26"/>
    </x:row>
    <x:row r="43">
      <x:c r="A43" s="26" t="str">
        <x:v>FAC-000042</x:v>
      </x:c>
      <x:c r="B43" s="26" t="str">
        <x:v>POWERTRAIN</x:v>
      </x:c>
      <x:c r="C43" s="26" t="str">
        <x:v>PWR-000005</x:v>
      </x:c>
      <x:c r="D43" s="26" t="str">
        <x:v>torque_nm</x:v>
      </x:c>
      <x:c r="E43" s="26" t="str">
        <x:v>NUMBER</x:v>
      </x:c>
      <x:c r="F43" s="26" t="n">
        <x:v>300</x:v>
      </x:c>
      <x:c r="G43" s="26" t="str">
        <x:v>Nm</x:v>
      </x:c>
      <x:c r="H43" s="26" t="str">
        <x:v>VERIFIED</x:v>
      </x:c>
      <x:c r="I43" s="26" t="str">
        <x:v>maximum system torque</x:v>
      </x:c>
      <x:c r="J43" s="26" t="n">
        <x:v>2026</x:v>
      </x:c>
      <x:c r="K43" s="26" t="n">
        <x:v>2026</x:v>
      </x:c>
      <x:c r="L43" s="26" t="str">
        <x:v>TR</x:v>
      </x:c>
      <x:c r="M43" s="26" t="str"/>
      <x:c r="N43" s="26" t="str"/>
      <x:c r="O43" s="26" t="str"/>
      <x:c r="P43" s="26" t="str">
        <x:v>NONE</x:v>
      </x:c>
      <x:c r="Q43" s="26" t="str">
        <x:v>EXACT_SCALAR</x:v>
      </x:c>
      <x:c r="R43" s="26" t="str"/>
      <x:c r="S43" s="26" t="str"/>
      <x:c r="T43" s="26" t="str"/>
      <x:c r="U43" s="26" t="str"/>
      <x:c r="V43" s="26"/>
      <x:c r="W43" s="26"/>
      <x:c r="X43" s="26"/>
      <x:c r="Y43" s="26"/>
      <x:c r="Z43" s="26"/>
    </x:row>
    <x:row r="44">
      <x:c r="A44" s="26" t="str">
        <x:v>FAC-000043</x:v>
      </x:c>
      <x:c r="B44" s="26" t="str">
        <x:v>POWERTRAIN</x:v>
      </x:c>
      <x:c r="C44" s="26" t="str">
        <x:v>PWR-000005</x:v>
      </x:c>
      <x:c r="D44" s="26" t="str">
        <x:v>official_energy_consumption_combined</x:v>
      </x:c>
      <x:c r="E44" s="26" t="str">
        <x:v>NUMBER</x:v>
      </x:c>
      <x:c r="F44" s="26" t="n">
        <x:v>16.9</x:v>
      </x:c>
      <x:c r="G44" s="26" t="str">
        <x:v>kWh/100km</x:v>
      </x:c>
      <x:c r="H44" s="26" t="str">
        <x:v>VERIFIED</x:v>
      </x:c>
      <x:c r="I44" s="26" t="str">
        <x:v>WLTP</x:v>
      </x:c>
      <x:c r="J44" s="26" t="n">
        <x:v>2026</x:v>
      </x:c>
      <x:c r="K44" s="26" t="n">
        <x:v>2026</x:v>
      </x:c>
      <x:c r="L44" s="26" t="str">
        <x:v>TR</x:v>
      </x:c>
      <x:c r="M44" s="26" t="str"/>
      <x:c r="N44" s="26" t="str"/>
      <x:c r="O44" s="26" t="str"/>
      <x:c r="P44" s="26" t="str">
        <x:v>NONE</x:v>
      </x:c>
      <x:c r="Q44" s="26" t="str">
        <x:v>EXACT_SCALAR</x:v>
      </x:c>
      <x:c r="R44" s="26" t="str"/>
      <x:c r="S44" s="26" t="str"/>
      <x:c r="T44" s="26" t="str"/>
      <x:c r="U44" s="26" t="str"/>
      <x:c r="V44" s="26"/>
      <x:c r="W44" s="26"/>
      <x:c r="X44" s="26"/>
      <x:c r="Y44" s="26"/>
      <x:c r="Z44" s="26"/>
    </x:row>
    <x:row r="45">
      <x:c r="A45" s="26" t="str">
        <x:v>FAC-000044</x:v>
      </x:c>
      <x:c r="B45" s="26" t="str">
        <x:v>POWERTRAIN</x:v>
      </x:c>
      <x:c r="C45" s="26" t="str">
        <x:v>PWR-000005</x:v>
      </x:c>
      <x:c r="D45" s="26" t="str">
        <x:v>official_fuel_consumption_combined</x:v>
      </x:c>
      <x:c r="E45" s="26" t="str">
        <x:v>NUMBER</x:v>
      </x:c>
      <x:c r="F45" s="26" t="n">
        <x:v>0.7</x:v>
      </x:c>
      <x:c r="G45" s="26" t="str">
        <x:v>L/100km</x:v>
      </x:c>
      <x:c r="H45" s="26" t="str">
        <x:v>VERIFIED</x:v>
      </x:c>
      <x:c r="I45" s="26" t="str">
        <x:v>WLTP weighted combined</x:v>
      </x:c>
      <x:c r="J45" s="26" t="n">
        <x:v>2026</x:v>
      </x:c>
      <x:c r="K45" s="26" t="n">
        <x:v>2026</x:v>
      </x:c>
      <x:c r="L45" s="26" t="str">
        <x:v>TR</x:v>
      </x:c>
      <x:c r="M45" s="26" t="str"/>
      <x:c r="N45" s="26" t="str"/>
      <x:c r="O45" s="26" t="str"/>
      <x:c r="P45" s="26" t="str">
        <x:v>NONE</x:v>
      </x:c>
      <x:c r="Q45" s="26" t="str">
        <x:v>EXACT_SCALAR</x:v>
      </x:c>
      <x:c r="R45" s="26" t="str"/>
      <x:c r="S45" s="26" t="str"/>
      <x:c r="T45" s="26" t="str"/>
      <x:c r="U45" s="26" t="str"/>
      <x:c r="V45" s="26"/>
      <x:c r="W45" s="26"/>
      <x:c r="X45" s="26"/>
      <x:c r="Y45" s="26"/>
      <x:c r="Z45" s="26"/>
    </x:row>
    <x:row r="46">
      <x:c r="A46" s="26" t="str">
        <x:v>FAC-000045</x:v>
      </x:c>
      <x:c r="B46" s="26" t="str">
        <x:v>GENERATION</x:v>
      </x:c>
      <x:c r="C46" s="26" t="str">
        <x:v>GEN-000005</x:v>
      </x:c>
      <x:c r="D46" s="26" t="str">
        <x:v>length_mm</x:v>
      </x:c>
      <x:c r="E46" s="26" t="str">
        <x:v>NUMBER</x:v>
      </x:c>
      <x:c r="F46" s="26" t="n">
        <x:v>4775</x:v>
      </x:c>
      <x:c r="G46" s="26" t="str">
        <x:v>mm</x:v>
      </x:c>
      <x:c r="H46" s="26" t="str">
        <x:v>VERIFIED</x:v>
      </x:c>
      <x:c r="I46" s="26" t="str"/>
      <x:c r="J46" s="26" t="n">
        <x:v>2026</x:v>
      </x:c>
      <x:c r="K46" s="26" t="n">
        <x:v>2026</x:v>
      </x:c>
      <x:c r="L46" s="26" t="str">
        <x:v>TR</x:v>
      </x:c>
      <x:c r="M46" s="26" t="str"/>
      <x:c r="N46" s="26" t="str"/>
      <x:c r="O46" s="26" t="str"/>
      <x:c r="P46" s="26" t="str">
        <x:v>NONE</x:v>
      </x:c>
      <x:c r="Q46" s="26" t="str">
        <x:v>EXACT_SCALAR</x:v>
      </x:c>
      <x:c r="R46" s="26" t="str"/>
      <x:c r="S46" s="26" t="str"/>
      <x:c r="T46" s="26" t="str"/>
      <x:c r="U46" s="26" t="str"/>
      <x:c r="V46" s="26"/>
      <x:c r="W46" s="26"/>
      <x:c r="X46" s="26"/>
      <x:c r="Y46" s="26"/>
      <x:c r="Z46" s="26"/>
    </x:row>
    <x:row r="47">
      <x:c r="A47" s="26" t="str">
        <x:v>FAC-000046</x:v>
      </x:c>
      <x:c r="B47" s="26" t="str">
        <x:v>GENERATION</x:v>
      </x:c>
      <x:c r="C47" s="26" t="str">
        <x:v>GEN-000005</x:v>
      </x:c>
      <x:c r="D47" s="26" t="str">
        <x:v>width_mm</x:v>
      </x:c>
      <x:c r="E47" s="26" t="str">
        <x:v>NUMBER</x:v>
      </x:c>
      <x:c r="F47" s="26" t="n">
        <x:v>1890</x:v>
      </x:c>
      <x:c r="G47" s="26" t="str">
        <x:v>mm</x:v>
      </x:c>
      <x:c r="H47" s="26" t="str">
        <x:v>VERIFIED</x:v>
      </x:c>
      <x:c r="I47" s="26" t="str"/>
      <x:c r="J47" s="26" t="n">
        <x:v>2026</x:v>
      </x:c>
      <x:c r="K47" s="26" t="n">
        <x:v>2026</x:v>
      </x:c>
      <x:c r="L47" s="26" t="str">
        <x:v>TR</x:v>
      </x:c>
      <x:c r="M47" s="26" t="str"/>
      <x:c r="N47" s="26" t="str"/>
      <x:c r="O47" s="26" t="str"/>
      <x:c r="P47" s="26" t="str">
        <x:v>NONE</x:v>
      </x:c>
      <x:c r="Q47" s="26" t="str">
        <x:v>EXACT_SCALAR</x:v>
      </x:c>
      <x:c r="R47" s="26" t="str"/>
      <x:c r="S47" s="26" t="str"/>
      <x:c r="T47" s="26" t="str"/>
      <x:c r="U47" s="26" t="str"/>
      <x:c r="V47" s="26"/>
      <x:c r="W47" s="26"/>
      <x:c r="X47" s="26"/>
      <x:c r="Y47" s="26"/>
      <x:c r="Z47" s="26"/>
    </x:row>
    <x:row r="48">
      <x:c r="A48" s="26" t="str">
        <x:v>FAC-000047</x:v>
      </x:c>
      <x:c r="B48" s="26" t="str">
        <x:v>GENERATION</x:v>
      </x:c>
      <x:c r="C48" s="26" t="str">
        <x:v>GEN-000005</x:v>
      </x:c>
      <x:c r="D48" s="26" t="str">
        <x:v>height_mm</x:v>
      </x:c>
      <x:c r="E48" s="26" t="str">
        <x:v>NUMBER</x:v>
      </x:c>
      <x:c r="F48" s="26" t="n">
        <x:v>1670</x:v>
      </x:c>
      <x:c r="G48" s="26" t="str">
        <x:v>mm</x:v>
      </x:c>
      <x:c r="H48" s="26" t="str">
        <x:v>VERIFIED</x:v>
      </x:c>
      <x:c r="I48" s="26" t="str"/>
      <x:c r="J48" s="26" t="n">
        <x:v>2026</x:v>
      </x:c>
      <x:c r="K48" s="26" t="n">
        <x:v>2026</x:v>
      </x:c>
      <x:c r="L48" s="26" t="str">
        <x:v>TR</x:v>
      </x:c>
      <x:c r="M48" s="26" t="str"/>
      <x:c r="N48" s="26" t="str"/>
      <x:c r="O48" s="26" t="str"/>
      <x:c r="P48" s="26" t="str">
        <x:v>NONE</x:v>
      </x:c>
      <x:c r="Q48" s="26" t="str">
        <x:v>EXACT_SCALAR</x:v>
      </x:c>
      <x:c r="R48" s="26" t="str"/>
      <x:c r="S48" s="26" t="str"/>
      <x:c r="T48" s="26" t="str"/>
      <x:c r="U48" s="26" t="str"/>
      <x:c r="V48" s="26"/>
      <x:c r="W48" s="26"/>
      <x:c r="X48" s="26"/>
      <x:c r="Y48" s="26"/>
      <x:c r="Z48" s="26"/>
    </x:row>
    <x:row r="49">
      <x:c r="A49" s="26" t="str">
        <x:v>FAC-000048</x:v>
      </x:c>
      <x:c r="B49" s="26" t="str">
        <x:v>GENERATION</x:v>
      </x:c>
      <x:c r="C49" s="26" t="str">
        <x:v>GEN-000005</x:v>
      </x:c>
      <x:c r="D49" s="26" t="str">
        <x:v>wheelbase_mm</x:v>
      </x:c>
      <x:c r="E49" s="26" t="str">
        <x:v>NUMBER</x:v>
      </x:c>
      <x:c r="F49" s="26" t="n">
        <x:v>2765</x:v>
      </x:c>
      <x:c r="G49" s="26" t="str">
        <x:v>mm</x:v>
      </x:c>
      <x:c r="H49" s="26" t="str">
        <x:v>VERIFIED</x:v>
      </x:c>
      <x:c r="I49" s="26" t="str"/>
      <x:c r="J49" s="26" t="n">
        <x:v>2026</x:v>
      </x:c>
      <x:c r="K49" s="26" t="n">
        <x:v>2026</x:v>
      </x:c>
      <x:c r="L49" s="26" t="str">
        <x:v>TR</x:v>
      </x:c>
      <x:c r="M49" s="26" t="str"/>
      <x:c r="N49" s="26" t="str"/>
      <x:c r="O49" s="26" t="str"/>
      <x:c r="P49" s="26" t="str">
        <x:v>NONE</x:v>
      </x:c>
      <x:c r="Q49" s="26" t="str">
        <x:v>EXACT_SCALAR</x:v>
      </x:c>
      <x:c r="R49" s="26" t="str"/>
      <x:c r="S49" s="26" t="str"/>
      <x:c r="T49" s="26" t="str"/>
      <x:c r="U49" s="26" t="str"/>
      <x:c r="V49" s="26"/>
      <x:c r="W49" s="26"/>
      <x:c r="X49" s="26"/>
      <x:c r="Y49" s="26"/>
      <x:c r="Z49" s="26"/>
    </x:row>
    <x:row r="50">
      <x:c r="A50" s="26" t="str">
        <x:v>FAC-000049</x:v>
      </x:c>
      <x:c r="B50" s="26" t="str">
        <x:v>CONFIGURATION</x:v>
      </x:c>
      <x:c r="C50" s="26" t="str">
        <x:v>CFG-000005</x:v>
      </x:c>
      <x:c r="D50" s="26" t="str">
        <x:v>cargo_volume_l</x:v>
      </x:c>
      <x:c r="E50" s="26" t="str">
        <x:v>NUMBER</x:v>
      </x:c>
      <x:c r="F50" s="26" t="n">
        <x:v>450</x:v>
      </x:c>
      <x:c r="G50" s="26" t="str">
        <x:v>L</x:v>
      </x:c>
      <x:c r="H50" s="26" t="str">
        <x:v>VERIFIED</x:v>
      </x:c>
      <x:c r="I50" s="26" t="str"/>
      <x:c r="J50" s="26" t="n">
        <x:v>2026</x:v>
      </x:c>
      <x:c r="K50" s="26" t="n">
        <x:v>2026</x:v>
      </x:c>
      <x:c r="L50" s="26" t="str">
        <x:v>TR</x:v>
      </x:c>
      <x:c r="M50" s="26" t="str"/>
      <x:c r="N50" s="26" t="str"/>
      <x:c r="O50" s="26" t="str"/>
      <x:c r="P50" s="26" t="str">
        <x:v>NONE</x:v>
      </x:c>
      <x:c r="Q50" s="26" t="str">
        <x:v>EXACT_SCALAR</x:v>
      </x:c>
      <x:c r="R50" s="26" t="str"/>
      <x:c r="S50" s="26" t="str"/>
      <x:c r="T50" s="26" t="str"/>
      <x:c r="U50" s="26" t="str"/>
      <x:c r="V50" s="26"/>
      <x:c r="W50" s="26"/>
      <x:c r="X50" s="26"/>
      <x:c r="Y50" s="26"/>
      <x:c r="Z50" s="26"/>
    </x:row>
    <x:row r="51">
      <x:c r="A51" s="26" t="str">
        <x:v>FAC-000050</x:v>
      </x:c>
      <x:c r="B51" s="26" t="str">
        <x:v>CONFIGURATION</x:v>
      </x:c>
      <x:c r="C51" s="26" t="str">
        <x:v>CFG-000005</x:v>
      </x:c>
      <x:c r="D51" s="26" t="str">
        <x:v>cargo_volume_max_l</x:v>
      </x:c>
      <x:c r="E51" s="26" t="str">
        <x:v>NUMBER</x:v>
      </x:c>
      <x:c r="F51" s="26" t="n">
        <x:v>1465</x:v>
      </x:c>
      <x:c r="G51" s="26" t="str">
        <x:v>L</x:v>
      </x:c>
      <x:c r="H51" s="26" t="str">
        <x:v>VERIFIED</x:v>
      </x:c>
      <x:c r="I51" s="26" t="str">
        <x:v>to roof, seats folded</x:v>
      </x:c>
      <x:c r="J51" s="26" t="n">
        <x:v>2026</x:v>
      </x:c>
      <x:c r="K51" s="26" t="n">
        <x:v>2026</x:v>
      </x:c>
      <x:c r="L51" s="26" t="str">
        <x:v>TR</x:v>
      </x:c>
      <x:c r="M51" s="26" t="str"/>
      <x:c r="N51" s="26" t="str"/>
      <x:c r="O51" s="26" t="str"/>
      <x:c r="P51" s="26" t="str">
        <x:v>NONE</x:v>
      </x:c>
      <x:c r="Q51" s="26" t="str">
        <x:v>EXACT_SCALAR</x:v>
      </x:c>
      <x:c r="R51" s="26" t="str"/>
      <x:c r="S51" s="26" t="str"/>
      <x:c r="T51" s="26" t="str"/>
      <x:c r="U51" s="26" t="str"/>
      <x:c r="V51" s="26"/>
      <x:c r="W51" s="26"/>
      <x:c r="X51" s="26"/>
      <x:c r="Y51" s="26"/>
      <x:c r="Z51" s="26"/>
    </x:row>
    <x:row r="52">
      <x:c r="A52" s="26" t="str">
        <x:v>FAC-000051</x:v>
      </x:c>
      <x:c r="B52" s="26" t="str">
        <x:v>CONFIGURATION</x:v>
      </x:c>
      <x:c r="C52" s="26" t="str">
        <x:v>CFG-000005</x:v>
      </x:c>
      <x:c r="D52" s="26" t="str">
        <x:v>turning_circle_m</x:v>
      </x:c>
      <x:c r="E52" s="26" t="str">
        <x:v>NUMBER</x:v>
      </x:c>
      <x:c r="F52" s="26" t="n">
        <x:v>11</x:v>
      </x:c>
      <x:c r="G52" s="26" t="str">
        <x:v>m</x:v>
      </x:c>
      <x:c r="H52" s="26" t="str">
        <x:v>VERIFIED</x:v>
      </x:c>
      <x:c r="I52" s="26" t="str">
        <x:v>minimum turning diameter</x:v>
      </x:c>
      <x:c r="J52" s="26" t="n">
        <x:v>2026</x:v>
      </x:c>
      <x:c r="K52" s="26" t="n">
        <x:v>2026</x:v>
      </x:c>
      <x:c r="L52" s="26" t="str">
        <x:v>TR</x:v>
      </x:c>
      <x:c r="M52" s="26" t="str"/>
      <x:c r="N52" s="26" t="str"/>
      <x:c r="O52" s="26" t="str"/>
      <x:c r="P52" s="26" t="str">
        <x:v>NONE</x:v>
      </x:c>
      <x:c r="Q52" s="26" t="str">
        <x:v>EXACT_SCALAR</x:v>
      </x:c>
      <x:c r="R52" s="26" t="str"/>
      <x:c r="S52" s="26" t="str"/>
      <x:c r="T52" s="26" t="str"/>
      <x:c r="U52" s="26" t="str"/>
      <x:c r="V52" s="26"/>
      <x:c r="W52" s="26"/>
      <x:c r="X52" s="26"/>
      <x:c r="Y52" s="26"/>
      <x:c r="Z52" s="26"/>
    </x:row>
    <x:row r="53">
      <x:c r="A53" s="26" t="str">
        <x:v>FAC-000052</x:v>
      </x:c>
      <x:c r="B53" s="26" t="str">
        <x:v>POWERTRAIN</x:v>
      </x:c>
      <x:c r="C53" s="26" t="str">
        <x:v>PWR-000005</x:v>
      </x:c>
      <x:c r="D53" s="26" t="str">
        <x:v>max_ac_charge_kw</x:v>
      </x:c>
      <x:c r="E53" s="26" t="str">
        <x:v>NUMBER</x:v>
      </x:c>
      <x:c r="F53" s="26" t="n">
        <x:v>11</x:v>
      </x:c>
      <x:c r="G53" s="26" t="str">
        <x:v>kW</x:v>
      </x:c>
      <x:c r="H53" s="26" t="str">
        <x:v>VERIFIED</x:v>
      </x:c>
      <x:c r="I53" s="26" t="str"/>
      <x:c r="J53" s="26" t="n">
        <x:v>2026</x:v>
      </x:c>
      <x:c r="K53" s="26" t="n">
        <x:v>2026</x:v>
      </x:c>
      <x:c r="L53" s="26" t="str">
        <x:v>TR</x:v>
      </x:c>
      <x:c r="M53" s="26" t="str"/>
      <x:c r="N53" s="26" t="str"/>
      <x:c r="O53" s="26" t="str"/>
      <x:c r="P53" s="26" t="str">
        <x:v>NONE</x:v>
      </x:c>
      <x:c r="Q53" s="26" t="str">
        <x:v>EXACT_SCALAR</x:v>
      </x:c>
      <x:c r="R53" s="26" t="str"/>
      <x:c r="S53" s="26" t="str"/>
      <x:c r="T53" s="26" t="str"/>
      <x:c r="U53" s="26" t="str"/>
      <x:c r="V53" s="26"/>
      <x:c r="W53" s="26"/>
      <x:c r="X53" s="26"/>
      <x:c r="Y53" s="26"/>
      <x:c r="Z53" s="26"/>
    </x:row>
    <x:row r="54">
      <x:c r="A54" s="26" t="str">
        <x:v>FAC-000053</x:v>
      </x:c>
      <x:c r="B54" s="26" t="str">
        <x:v>POWERTRAIN</x:v>
      </x:c>
      <x:c r="C54" s="26" t="str">
        <x:v>PWR-000005</x:v>
      </x:c>
      <x:c r="D54" s="26" t="str">
        <x:v>max_dc_charge_kw</x:v>
      </x:c>
      <x:c r="E54" s="26" t="str">
        <x:v>NUMBER</x:v>
      </x:c>
      <x:c r="F54" s="26" t="n">
        <x:v>18</x:v>
      </x:c>
      <x:c r="G54" s="26" t="str">
        <x:v>kW</x:v>
      </x:c>
      <x:c r="H54" s="26" t="str">
        <x:v>VERIFIED</x:v>
      </x:c>
      <x:c r="I54" s="26" t="str"/>
      <x:c r="J54" s="26" t="n">
        <x:v>2026</x:v>
      </x:c>
      <x:c r="K54" s="26" t="n">
        <x:v>2026</x:v>
      </x:c>
      <x:c r="L54" s="26" t="str">
        <x:v>TR</x:v>
      </x:c>
      <x:c r="M54" s="26" t="str"/>
      <x:c r="N54" s="26" t="str"/>
      <x:c r="O54" s="26" t="str"/>
      <x:c r="P54" s="26" t="str">
        <x:v>NONE</x:v>
      </x:c>
      <x:c r="Q54" s="26" t="str">
        <x:v>EXACT_SCALAR</x:v>
      </x:c>
      <x:c r="R54" s="26" t="str"/>
      <x:c r="S54" s="26" t="str"/>
      <x:c r="T54" s="26" t="str"/>
      <x:c r="U54" s="26" t="str"/>
      <x:c r="V54" s="26"/>
      <x:c r="W54" s="26"/>
      <x:c r="X54" s="26"/>
      <x:c r="Y54" s="26"/>
      <x:c r="Z54" s="26"/>
    </x:row>
    <x:row r="55">
      <x:c r="A55" s="26" t="str">
        <x:v>FAC-000054</x:v>
      </x:c>
      <x:c r="B55" s="26" t="str">
        <x:v>POWERTRAIN</x:v>
      </x:c>
      <x:c r="C55" s="26" t="str">
        <x:v>PWR-000005</x:v>
      </x:c>
      <x:c r="D55" s="26" t="str">
        <x:v>battery_capacity_reported_kwh</x:v>
      </x:c>
      <x:c r="E55" s="26" t="str">
        <x:v>NUMBER</x:v>
      </x:c>
      <x:c r="F55" s="26" t="n">
        <x:v>18.3</x:v>
      </x:c>
      <x:c r="G55" s="26" t="str">
        <x:v>kWh</x:v>
      </x:c>
      <x:c r="H55" s="26" t="str">
        <x:v>VERIFIED</x:v>
      </x:c>
      <x:c r="I55" s="26" t="str">
        <x:v>gross/usable unspecified</x:v>
      </x:c>
      <x:c r="J55" s="26" t="n">
        <x:v>2026</x:v>
      </x:c>
      <x:c r="K55" s="26" t="n">
        <x:v>2026</x:v>
      </x:c>
      <x:c r="L55" s="26" t="str">
        <x:v>TR</x:v>
      </x:c>
      <x:c r="M55" s="26" t="str">
        <x:v>Do not map to usable/gross without explicit semantics.</x:v>
      </x:c>
      <x:c r="N55" s="26" t="str"/>
      <x:c r="O55" s="26" t="str"/>
      <x:c r="P55" s="26" t="str">
        <x:v>NONE</x:v>
      </x:c>
      <x:c r="Q55" s="26" t="str">
        <x:v>BATTERY_CAPACITY_UNQUALIFIED</x:v>
      </x:c>
      <x:c r="R55" s="26" t="str"/>
      <x:c r="S55" s="26" t="str"/>
      <x:c r="T55" s="26" t="str"/>
      <x:c r="U55" s="26" t="str"/>
      <x:c r="V55" s="26"/>
      <x:c r="W55" s="26"/>
      <x:c r="X55" s="26"/>
      <x:c r="Y55" s="26"/>
      <x:c r="Z55" s="26"/>
    </x:row>
    <x:row r="56">
      <x:c r="A56" s="26" t="str">
        <x:v>FAC-000055</x:v>
      </x:c>
      <x:c r="B56" s="26" t="str">
        <x:v>POWERTRAIN</x:v>
      </x:c>
      <x:c r="C56" s="26" t="str">
        <x:v>PWR-000005</x:v>
      </x:c>
      <x:c r="D56" s="26" t="str">
        <x:v>dc_charge_time_min</x:v>
      </x:c>
      <x:c r="E56" s="26" t="str">
        <x:v>NUMBER</x:v>
      </x:c>
      <x:c r="F56" s="26" t="n">
        <x:v>35</x:v>
      </x:c>
      <x:c r="G56" s="26" t="str">
        <x:v>min</x:v>
      </x:c>
      <x:c r="H56" s="26" t="str">
        <x:v>VERIFIED</x:v>
      </x:c>
      <x:c r="I56" s="26" t="str">
        <x:v>SOC 30–80%; 18 kW DC</x:v>
      </x:c>
      <x:c r="J56" s="26" t="n">
        <x:v>2026</x:v>
      </x:c>
      <x:c r="K56" s="26" t="n">
        <x:v>2026</x:v>
      </x:c>
      <x:c r="L56" s="26" t="str">
        <x:v>TR</x:v>
      </x:c>
      <x:c r="M56" s="26" t="str"/>
      <x:c r="N56" s="26" t="str"/>
      <x:c r="O56" s="26" t="str"/>
      <x:c r="P56" s="26" t="str">
        <x:v>NONE</x:v>
      </x:c>
      <x:c r="Q56" s="26" t="str">
        <x:v>CHARGE_TIME_WITH_SOC_CONTEXT</x:v>
      </x:c>
      <x:c r="R56" s="26" t="str"/>
      <x:c r="S56" s="26" t="n">
        <x:v>30</x:v>
      </x:c>
      <x:c r="T56" s="26" t="n">
        <x:v>80</x:v>
      </x:c>
      <x:c r="U56" s="26" t="n">
        <x:v>18</x:v>
      </x:c>
      <x:c r="V56" s="26"/>
      <x:c r="W56" s="26"/>
      <x:c r="X56" s="26"/>
      <x:c r="Y56" s="26"/>
      <x:c r="Z56" s="26"/>
    </x:row>
    <x:row r="57">
      <x:c r="A57" s="26" t="str">
        <x:v>FAC-000056</x:v>
      </x:c>
      <x:c r="B57" s="26" t="str">
        <x:v>POWERTRAIN</x:v>
      </x:c>
      <x:c r="C57" s="26" t="str">
        <x:v>PWR-000006</x:v>
      </x:c>
      <x:c r="D57" s="26" t="str">
        <x:v>power_kw</x:v>
      </x:c>
      <x:c r="E57" s="26" t="str">
        <x:v>NUMBER</x:v>
      </x:c>
      <x:c r="F57" s="26" t="n">
        <x:v>150</x:v>
      </x:c>
      <x:c r="G57" s="26" t="str">
        <x:v>kW</x:v>
      </x:c>
      <x:c r="H57" s="26" t="str">
        <x:v>VERIFIED</x:v>
      </x:c>
      <x:c r="I57" s="26" t="str"/>
      <x:c r="J57" s="26" t="n">
        <x:v>2026</x:v>
      </x:c>
      <x:c r="K57" s="26" t="n">
        <x:v>2026</x:v>
      </x:c>
      <x:c r="L57" s="26" t="str">
        <x:v>TR</x:v>
      </x:c>
      <x:c r="M57" s="26" t="str"/>
      <x:c r="N57" s="26" t="str"/>
      <x:c r="O57" s="26" t="str"/>
      <x:c r="P57" s="26" t="str">
        <x:v>NONE</x:v>
      </x:c>
      <x:c r="Q57" s="26" t="str">
        <x:v>EXACT_SCALAR</x:v>
      </x:c>
      <x:c r="R57" s="26" t="str"/>
      <x:c r="S57" s="26" t="str"/>
      <x:c r="T57" s="26" t="str"/>
      <x:c r="U57" s="26" t="str"/>
      <x:c r="V57" s="26"/>
      <x:c r="W57" s="26"/>
      <x:c r="X57" s="26"/>
      <x:c r="Y57" s="26"/>
      <x:c r="Z57" s="26"/>
    </x:row>
    <x:row r="58">
      <x:c r="A58" s="26" t="str">
        <x:v>FAC-000057</x:v>
      </x:c>
      <x:c r="B58" s="26" t="str">
        <x:v>POWERTRAIN</x:v>
      </x:c>
      <x:c r="C58" s="26" t="str">
        <x:v>PWR-000006</x:v>
      </x:c>
      <x:c r="D58" s="26" t="str">
        <x:v>torque_nm</x:v>
      </x:c>
      <x:c r="E58" s="26" t="str">
        <x:v>NUMBER</x:v>
      </x:c>
      <x:c r="F58" s="26" t="n">
        <x:v>283</x:v>
      </x:c>
      <x:c r="G58" s="26" t="str">
        <x:v>Nm</x:v>
      </x:c>
      <x:c r="H58" s="26" t="str">
        <x:v>VERIFIED</x:v>
      </x:c>
      <x:c r="I58" s="26" t="str"/>
      <x:c r="J58" s="26" t="n">
        <x:v>2026</x:v>
      </x:c>
      <x:c r="K58" s="26" t="n">
        <x:v>2026</x:v>
      </x:c>
      <x:c r="L58" s="26" t="str">
        <x:v>TR</x:v>
      </x:c>
      <x:c r="M58" s="26" t="str"/>
      <x:c r="N58" s="26" t="str"/>
      <x:c r="O58" s="26" t="str"/>
      <x:c r="P58" s="26" t="str">
        <x:v>NONE</x:v>
      </x:c>
      <x:c r="Q58" s="26" t="str">
        <x:v>EXACT_SCALAR</x:v>
      </x:c>
      <x:c r="R58" s="26" t="str"/>
      <x:c r="S58" s="26" t="str"/>
      <x:c r="T58" s="26" t="str"/>
      <x:c r="U58" s="26" t="str"/>
      <x:c r="V58" s="26"/>
      <x:c r="W58" s="26"/>
      <x:c r="X58" s="26"/>
      <x:c r="Y58" s="26"/>
      <x:c r="Z58" s="26"/>
    </x:row>
    <x:row r="59">
      <x:c r="A59" s="26" t="str">
        <x:v>FAC-000058</x:v>
      </x:c>
      <x:c r="B59" s="26" t="str">
        <x:v>GENERATION</x:v>
      </x:c>
      <x:c r="C59" s="26" t="str">
        <x:v>GEN-000006</x:v>
      </x:c>
      <x:c r="D59" s="26" t="str">
        <x:v>length_mm</x:v>
      </x:c>
      <x:c r="E59" s="26" t="str">
        <x:v>NUMBER</x:v>
      </x:c>
      <x:c r="F59" s="26" t="n">
        <x:v>4300</x:v>
      </x:c>
      <x:c r="G59" s="26" t="str">
        <x:v>mm</x:v>
      </x:c>
      <x:c r="H59" s="26" t="str">
        <x:v>VERIFIED</x:v>
      </x:c>
      <x:c r="I59" s="26" t="str">
        <x:v>Prestige group</x:v>
      </x:c>
      <x:c r="J59" s="26" t="n">
        <x:v>2026</x:v>
      </x:c>
      <x:c r="K59" s="26" t="n">
        <x:v>2026</x:v>
      </x:c>
      <x:c r="L59" s="26" t="str">
        <x:v>TR</x:v>
      </x:c>
      <x:c r="M59" s="26" t="str"/>
      <x:c r="N59" s="26" t="str"/>
      <x:c r="O59" s="26" t="str"/>
      <x:c r="P59" s="26" t="str">
        <x:v>NONE</x:v>
      </x:c>
      <x:c r="Q59" s="26" t="str">
        <x:v>EXACT_SCALAR</x:v>
      </x:c>
      <x:c r="R59" s="26" t="str"/>
      <x:c r="S59" s="26" t="str"/>
      <x:c r="T59" s="26" t="str"/>
      <x:c r="U59" s="26" t="str"/>
      <x:c r="V59" s="26"/>
      <x:c r="W59" s="26"/>
      <x:c r="X59" s="26"/>
      <x:c r="Y59" s="26"/>
      <x:c r="Z59" s="26"/>
    </x:row>
    <x:row r="60">
      <x:c r="A60" s="26" t="str">
        <x:v>FAC-000059</x:v>
      </x:c>
      <x:c r="B60" s="26" t="str">
        <x:v>GENERATION</x:v>
      </x:c>
      <x:c r="C60" s="26" t="str">
        <x:v>GEN-000006</x:v>
      </x:c>
      <x:c r="D60" s="26" t="str">
        <x:v>width_mm</x:v>
      </x:c>
      <x:c r="E60" s="26" t="str">
        <x:v>NUMBER</x:v>
      </x:c>
      <x:c r="F60" s="26" t="n">
        <x:v>1850</x:v>
      </x:c>
      <x:c r="G60" s="26" t="str">
        <x:v>mm</x:v>
      </x:c>
      <x:c r="H60" s="26" t="str">
        <x:v>VERIFIED</x:v>
      </x:c>
      <x:c r="I60" s="26" t="str"/>
      <x:c r="J60" s="26" t="n">
        <x:v>2026</x:v>
      </x:c>
      <x:c r="K60" s="26" t="n">
        <x:v>2026</x:v>
      </x:c>
      <x:c r="L60" s="26" t="str">
        <x:v>TR</x:v>
      </x:c>
      <x:c r="M60" s="26" t="str"/>
      <x:c r="N60" s="26" t="str"/>
      <x:c r="O60" s="26" t="str"/>
      <x:c r="P60" s="26" t="str">
        <x:v>NONE</x:v>
      </x:c>
      <x:c r="Q60" s="26" t="str">
        <x:v>EXACT_SCALAR</x:v>
      </x:c>
      <x:c r="R60" s="26" t="str"/>
      <x:c r="S60" s="26" t="str"/>
      <x:c r="T60" s="26" t="str"/>
      <x:c r="U60" s="26" t="str"/>
      <x:c r="V60" s="26"/>
      <x:c r="W60" s="26"/>
      <x:c r="X60" s="26"/>
      <x:c r="Y60" s="26"/>
      <x:c r="Z60" s="26"/>
    </x:row>
    <x:row r="61">
      <x:c r="A61" s="26" t="str">
        <x:v>FAC-000060</x:v>
      </x:c>
      <x:c r="B61" s="26" t="str">
        <x:v>GENERATION</x:v>
      </x:c>
      <x:c r="C61" s="26" t="str">
        <x:v>GEN-000006</x:v>
      </x:c>
      <x:c r="D61" s="26" t="str">
        <x:v>height_mm</x:v>
      </x:c>
      <x:c r="E61" s="26" t="str">
        <x:v>NUMBER</x:v>
      </x:c>
      <x:c r="F61" s="26" t="n">
        <x:v>1560</x:v>
      </x:c>
      <x:c r="G61" s="26" t="str">
        <x:v>mm</x:v>
      </x:c>
      <x:c r="H61" s="26" t="str">
        <x:v>VERIFIED</x:v>
      </x:c>
      <x:c r="I61" s="26" t="str">
        <x:v>Prestige group</x:v>
      </x:c>
      <x:c r="J61" s="26" t="n">
        <x:v>2026</x:v>
      </x:c>
      <x:c r="K61" s="26" t="n">
        <x:v>2026</x:v>
      </x:c>
      <x:c r="L61" s="26" t="str">
        <x:v>TR</x:v>
      </x:c>
      <x:c r="M61" s="26" t="str"/>
      <x:c r="N61" s="26" t="str"/>
      <x:c r="O61" s="26" t="str"/>
      <x:c r="P61" s="26" t="str">
        <x:v>NONE</x:v>
      </x:c>
      <x:c r="Q61" s="26" t="str">
        <x:v>EXACT_SCALAR</x:v>
      </x:c>
      <x:c r="R61" s="26" t="str"/>
      <x:c r="S61" s="26" t="str"/>
      <x:c r="T61" s="26" t="str"/>
      <x:c r="U61" s="26" t="str"/>
      <x:c r="V61" s="26"/>
      <x:c r="W61" s="26"/>
      <x:c r="X61" s="26"/>
      <x:c r="Y61" s="26"/>
      <x:c r="Z61" s="26"/>
    </x:row>
    <x:row r="62">
      <x:c r="A62" s="26" t="str">
        <x:v>FAC-000061</x:v>
      </x:c>
      <x:c r="B62" s="26" t="str">
        <x:v>GENERATION</x:v>
      </x:c>
      <x:c r="C62" s="26" t="str">
        <x:v>GEN-000006</x:v>
      </x:c>
      <x:c r="D62" s="26" t="str">
        <x:v>wheelbase_mm</x:v>
      </x:c>
      <x:c r="E62" s="26" t="str">
        <x:v>NUMBER</x:v>
      </x:c>
      <x:c r="F62" s="26" t="n">
        <x:v>2680</x:v>
      </x:c>
      <x:c r="G62" s="26" t="str">
        <x:v>mm</x:v>
      </x:c>
      <x:c r="H62" s="26" t="str">
        <x:v>VERIFIED</x:v>
      </x:c>
      <x:c r="I62" s="26" t="str"/>
      <x:c r="J62" s="26" t="n">
        <x:v>2026</x:v>
      </x:c>
      <x:c r="K62" s="26" t="n">
        <x:v>2026</x:v>
      </x:c>
      <x:c r="L62" s="26" t="str">
        <x:v>TR</x:v>
      </x:c>
      <x:c r="M62" s="26" t="str"/>
      <x:c r="N62" s="26" t="str"/>
      <x:c r="O62" s="26" t="str"/>
      <x:c r="P62" s="26" t="str">
        <x:v>NONE</x:v>
      </x:c>
      <x:c r="Q62" s="26" t="str">
        <x:v>EXACT_SCALAR</x:v>
      </x:c>
      <x:c r="R62" s="26" t="str"/>
      <x:c r="S62" s="26" t="str"/>
      <x:c r="T62" s="26" t="str"/>
      <x:c r="U62" s="26" t="str"/>
      <x:c r="V62" s="26"/>
      <x:c r="W62" s="26"/>
      <x:c r="X62" s="26"/>
      <x:c r="Y62" s="26"/>
      <x:c r="Z62" s="26"/>
    </x:row>
    <x:row r="63">
      <x:c r="A63" s="26" t="str">
        <x:v>FAC-000062</x:v>
      </x:c>
      <x:c r="B63" s="26" t="str">
        <x:v>CONFIGURATION</x:v>
      </x:c>
      <x:c r="C63" s="26" t="str">
        <x:v>CFG-000006</x:v>
      </x:c>
      <x:c r="D63" s="26" t="str">
        <x:v>ground_clearance_mm</x:v>
      </x:c>
      <x:c r="E63" s="26" t="str">
        <x:v>NUMBER</x:v>
      </x:c>
      <x:c r="F63" s="26" t="n">
        <x:v>140</x:v>
      </x:c>
      <x:c r="G63" s="26" t="str">
        <x:v>mm</x:v>
      </x:c>
      <x:c r="H63" s="26" t="str">
        <x:v>VERIFIED</x:v>
      </x:c>
      <x:c r="I63" s="26" t="str">
        <x:v>Prestige group</x:v>
      </x:c>
      <x:c r="J63" s="26" t="n">
        <x:v>2026</x:v>
      </x:c>
      <x:c r="K63" s="26" t="n">
        <x:v>2026</x:v>
      </x:c>
      <x:c r="L63" s="26" t="str">
        <x:v>TR</x:v>
      </x:c>
      <x:c r="M63" s="26" t="str"/>
      <x:c r="N63" s="26" t="str"/>
      <x:c r="O63" s="26" t="str"/>
      <x:c r="P63" s="26" t="str">
        <x:v>NONE</x:v>
      </x:c>
      <x:c r="Q63" s="26" t="str">
        <x:v>EXACT_SCALAR</x:v>
      </x:c>
      <x:c r="R63" s="26" t="str"/>
      <x:c r="S63" s="26" t="str"/>
      <x:c r="T63" s="26" t="str"/>
      <x:c r="U63" s="26" t="str"/>
      <x:c r="V63" s="26"/>
      <x:c r="W63" s="26"/>
      <x:c r="X63" s="26"/>
      <x:c r="Y63" s="26"/>
      <x:c r="Z63" s="26"/>
    </x:row>
    <x:row r="64">
      <x:c r="A64" s="26" t="str">
        <x:v>FAC-000063</x:v>
      </x:c>
      <x:c r="B64" s="26" t="str">
        <x:v>CONFIGURATION</x:v>
      </x:c>
      <x:c r="C64" s="26" t="str">
        <x:v>CFG-000006</x:v>
      </x:c>
      <x:c r="D64" s="26" t="str">
        <x:v>cargo_volume_l</x:v>
      </x:c>
      <x:c r="E64" s="26" t="str">
        <x:v>NUMBER</x:v>
      </x:c>
      <x:c r="F64" s="26" t="n">
        <x:v>460</x:v>
      </x:c>
      <x:c r="G64" s="26" t="str">
        <x:v>L</x:v>
      </x:c>
      <x:c r="H64" s="26" t="str">
        <x:v>VERIFIED</x:v>
      </x:c>
      <x:c r="I64" s="26" t="str">
        <x:v>seats upright</x:v>
      </x:c>
      <x:c r="J64" s="26" t="n">
        <x:v>2026</x:v>
      </x:c>
      <x:c r="K64" s="26" t="n">
        <x:v>2026</x:v>
      </x:c>
      <x:c r="L64" s="26" t="str">
        <x:v>TR</x:v>
      </x:c>
      <x:c r="M64" s="26" t="str"/>
      <x:c r="N64" s="26" t="str"/>
      <x:c r="O64" s="26" t="str"/>
      <x:c r="P64" s="26" t="str">
        <x:v>NONE</x:v>
      </x:c>
      <x:c r="Q64" s="26" t="str">
        <x:v>EXACT_SCALAR</x:v>
      </x:c>
      <x:c r="R64" s="26" t="str"/>
      <x:c r="S64" s="26" t="str"/>
      <x:c r="T64" s="26" t="str"/>
      <x:c r="U64" s="26" t="str"/>
      <x:c r="V64" s="26"/>
      <x:c r="W64" s="26"/>
      <x:c r="X64" s="26"/>
      <x:c r="Y64" s="26"/>
      <x:c r="Z64" s="26"/>
    </x:row>
    <x:row r="65">
      <x:c r="A65" s="26" t="str">
        <x:v>FAC-000064</x:v>
      </x:c>
      <x:c r="B65" s="26" t="str">
        <x:v>CONFIGURATION</x:v>
      </x:c>
      <x:c r="C65" s="26" t="str">
        <x:v>CFG-000006</x:v>
      </x:c>
      <x:c r="D65" s="26" t="str">
        <x:v>cargo_volume_max_l</x:v>
      </x:c>
      <x:c r="E65" s="26" t="str">
        <x:v>NUMBER</x:v>
      </x:c>
      <x:c r="F65" s="26" t="n">
        <x:v>1251</x:v>
      </x:c>
      <x:c r="G65" s="26" t="str">
        <x:v>L</x:v>
      </x:c>
      <x:c r="H65" s="26" t="str">
        <x:v>VERIFIED</x:v>
      </x:c>
      <x:c r="I65" s="26" t="str">
        <x:v>seats folded</x:v>
      </x:c>
      <x:c r="J65" s="26" t="n">
        <x:v>2026</x:v>
      </x:c>
      <x:c r="K65" s="26" t="n">
        <x:v>2026</x:v>
      </x:c>
      <x:c r="L65" s="26" t="str">
        <x:v>TR</x:v>
      </x:c>
      <x:c r="M65" s="26" t="str"/>
      <x:c r="N65" s="26" t="str"/>
      <x:c r="O65" s="26" t="str"/>
      <x:c r="P65" s="26" t="str">
        <x:v>NONE</x:v>
      </x:c>
      <x:c r="Q65" s="26" t="str">
        <x:v>EXACT_SCALAR</x:v>
      </x:c>
      <x:c r="R65" s="26" t="str"/>
      <x:c r="S65" s="26" t="str"/>
      <x:c r="T65" s="26" t="str"/>
      <x:c r="U65" s="26" t="str"/>
      <x:c r="V65" s="26"/>
      <x:c r="W65" s="26"/>
      <x:c r="X65" s="26"/>
      <x:c r="Y65" s="26"/>
      <x:c r="Z65" s="26"/>
    </x:row>
    <x:row r="66">
      <x:c r="A66" s="26" t="str">
        <x:v>FAC-000065</x:v>
      </x:c>
      <x:c r="B66" s="26" t="str">
        <x:v>CONFIGURATION</x:v>
      </x:c>
      <x:c r="C66" s="26" t="str">
        <x:v>CFG-000006</x:v>
      </x:c>
      <x:c r="D66" s="26" t="str">
        <x:v>seats</x:v>
      </x:c>
      <x:c r="E66" s="26" t="str">
        <x:v>NUMBER</x:v>
      </x:c>
      <x:c r="F66" s="26" t="n">
        <x:v>5</x:v>
      </x:c>
      <x:c r="G66" s="26" t="str">
        <x:v>count</x:v>
      </x:c>
      <x:c r="H66" s="26" t="str">
        <x:v>VERIFIED</x:v>
      </x:c>
      <x:c r="I66" s="26" t="str"/>
      <x:c r="J66" s="26" t="n">
        <x:v>2026</x:v>
      </x:c>
      <x:c r="K66" s="26" t="n">
        <x:v>2026</x:v>
      </x:c>
      <x:c r="L66" s="26" t="str">
        <x:v>TR</x:v>
      </x:c>
      <x:c r="M66" s="26" t="str"/>
      <x:c r="N66" s="26" t="str"/>
      <x:c r="O66" s="26" t="str"/>
      <x:c r="P66" s="26" t="str">
        <x:v>NONE</x:v>
      </x:c>
      <x:c r="Q66" s="26" t="str">
        <x:v>EXACT_SCALAR</x:v>
      </x:c>
      <x:c r="R66" s="26" t="str"/>
      <x:c r="S66" s="26" t="str"/>
      <x:c r="T66" s="26" t="str"/>
      <x:c r="U66" s="26" t="str"/>
      <x:c r="V66" s="26"/>
      <x:c r="W66" s="26"/>
      <x:c r="X66" s="26"/>
      <x:c r="Y66" s="26"/>
      <x:c r="Z66" s="26"/>
    </x:row>
    <x:row r="67">
      <x:c r="A67" s="26" t="str">
        <x:v>FAC-000066</x:v>
      </x:c>
      <x:c r="B67" s="26" t="str">
        <x:v>CONFIGURATION</x:v>
      </x:c>
      <x:c r="C67" s="26" t="str">
        <x:v>CFG-000006</x:v>
      </x:c>
      <x:c r="D67" s="26" t="str">
        <x:v>official_electric_range</x:v>
      </x:c>
      <x:c r="E67" s="26" t="str">
        <x:v>NUMBER</x:v>
      </x:c>
      <x:c r="F67" s="26" t="n">
        <x:v>431</x:v>
      </x:c>
      <x:c r="G67" s="26" t="str">
        <x:v>km</x:v>
      </x:c>
      <x:c r="H67" s="26" t="str">
        <x:v>VERIFIED</x:v>
      </x:c>
      <x:c r="I67" s="26" t="str">
        <x:v>WLTP combined; Prestige</x:v>
      </x:c>
      <x:c r="J67" s="26" t="n">
        <x:v>2026</x:v>
      </x:c>
      <x:c r="K67" s="26" t="n">
        <x:v>2026</x:v>
      </x:c>
      <x:c r="L67" s="26" t="str">
        <x:v>TR</x:v>
      </x:c>
      <x:c r="M67" s="26" t="str"/>
      <x:c r="N67" s="26" t="str"/>
      <x:c r="O67" s="26" t="str"/>
      <x:c r="P67" s="26" t="str">
        <x:v>NONE</x:v>
      </x:c>
      <x:c r="Q67" s="26" t="str">
        <x:v>EXACT_SCALAR</x:v>
      </x:c>
      <x:c r="R67" s="26" t="str"/>
      <x:c r="S67" s="26" t="str"/>
      <x:c r="T67" s="26" t="str"/>
      <x:c r="U67" s="26" t="str"/>
      <x:c r="V67" s="26"/>
      <x:c r="W67" s="26"/>
      <x:c r="X67" s="26"/>
      <x:c r="Y67" s="26"/>
      <x:c r="Z67" s="26"/>
    </x:row>
    <x:row r="68">
      <x:c r="A68" s="26" t="str">
        <x:v>FAC-000067</x:v>
      </x:c>
      <x:c r="B68" s="26" t="str">
        <x:v>CONFIGURATION</x:v>
      </x:c>
      <x:c r="C68" s="26" t="str">
        <x:v>CFG-000006</x:v>
      </x:c>
      <x:c r="D68" s="26" t="str">
        <x:v>official_energy_consumption_combined</x:v>
      </x:c>
      <x:c r="E68" s="26" t="str">
        <x:v>NUMBER</x:v>
      </x:c>
      <x:c r="F68" s="26" t="n">
        <x:v>15.1</x:v>
      </x:c>
      <x:c r="G68" s="26" t="str">
        <x:v>kWh/100km</x:v>
      </x:c>
      <x:c r="H68" s="26" t="str">
        <x:v>VERIFIED</x:v>
      </x:c>
      <x:c r="I68" s="26" t="str">
        <x:v>WLTP; Prestige</x:v>
      </x:c>
      <x:c r="J68" s="26" t="n">
        <x:v>2026</x:v>
      </x:c>
      <x:c r="K68" s="26" t="n">
        <x:v>2026</x:v>
      </x:c>
      <x:c r="L68" s="26" t="str">
        <x:v>TR</x:v>
      </x:c>
      <x:c r="M68" s="26" t="str"/>
      <x:c r="N68" s="26" t="str"/>
      <x:c r="O68" s="26" t="str"/>
      <x:c r="P68" s="26" t="str">
        <x:v>NONE</x:v>
      </x:c>
      <x:c r="Q68" s="26" t="str">
        <x:v>EXACT_SCALAR</x:v>
      </x:c>
      <x:c r="R68" s="26" t="str"/>
      <x:c r="S68" s="26" t="str"/>
      <x:c r="T68" s="26" t="str"/>
      <x:c r="U68" s="26" t="str"/>
      <x:c r="V68" s="26"/>
      <x:c r="W68" s="26"/>
      <x:c r="X68" s="26"/>
      <x:c r="Y68" s="26"/>
      <x:c r="Z68" s="26"/>
    </x:row>
    <x:row r="69">
      <x:c r="A69" s="26" t="str">
        <x:v>FAC-000068</x:v>
      </x:c>
      <x:c r="B69" s="26" t="str">
        <x:v>POWERTRAIN</x:v>
      </x:c>
      <x:c r="C69" s="26" t="str">
        <x:v>PWR-000006</x:v>
      </x:c>
      <x:c r="D69" s="26" t="str">
        <x:v>max_dc_charge_kw</x:v>
      </x:c>
      <x:c r="E69" s="26" t="str">
        <x:v>NUMBER</x:v>
      </x:c>
      <x:c r="F69" s="26" t="n">
        <x:v>101</x:v>
      </x:c>
      <x:c r="G69" s="26" t="str">
        <x:v>kW</x:v>
      </x:c>
      <x:c r="H69" s="26" t="str">
        <x:v>VERIFIED</x:v>
      </x:c>
      <x:c r="I69" s="26" t="str">
        <x:v>58.3 kWh battery group</x:v>
      </x:c>
      <x:c r="J69" s="26" t="n">
        <x:v>2026</x:v>
      </x:c>
      <x:c r="K69" s="26" t="n">
        <x:v>2026</x:v>
      </x:c>
      <x:c r="L69" s="26" t="str">
        <x:v>TR</x:v>
      </x:c>
      <x:c r="M69" s="26" t="str"/>
      <x:c r="N69" s="26" t="str"/>
      <x:c r="O69" s="26" t="str"/>
      <x:c r="P69" s="26" t="str">
        <x:v>NONE</x:v>
      </x:c>
      <x:c r="Q69" s="26" t="str">
        <x:v>EXACT_SCALAR</x:v>
      </x:c>
      <x:c r="R69" s="26" t="str"/>
      <x:c r="S69" s="26" t="str"/>
      <x:c r="T69" s="26" t="str"/>
      <x:c r="U69" s="26" t="str"/>
      <x:c r="V69" s="26"/>
      <x:c r="W69" s="26"/>
      <x:c r="X69" s="26"/>
      <x:c r="Y69" s="26"/>
      <x:c r="Z69" s="26"/>
    </x:row>
    <x:row r="70">
      <x:c r="A70" s="26" t="str">
        <x:v>FAC-000069</x:v>
      </x:c>
      <x:c r="B70" s="26" t="str">
        <x:v>POWERTRAIN</x:v>
      </x:c>
      <x:c r="C70" s="26" t="str">
        <x:v>PWR-000006</x:v>
      </x:c>
      <x:c r="D70" s="26" t="str">
        <x:v>battery_capacity_reported_kwh</x:v>
      </x:c>
      <x:c r="E70" s="26" t="str">
        <x:v>NUMBER</x:v>
      </x:c>
      <x:c r="F70" s="26" t="n">
        <x:v>58.3</x:v>
      </x:c>
      <x:c r="G70" s="26" t="str">
        <x:v>kWh</x:v>
      </x:c>
      <x:c r="H70" s="26" t="str">
        <x:v>VERIFIED</x:v>
      </x:c>
      <x:c r="I70" s="26" t="str">
        <x:v>gross/usable unspecified</x:v>
      </x:c>
      <x:c r="J70" s="26" t="n">
        <x:v>2026</x:v>
      </x:c>
      <x:c r="K70" s="26" t="n">
        <x:v>2026</x:v>
      </x:c>
      <x:c r="L70" s="26" t="str">
        <x:v>TR</x:v>
      </x:c>
      <x:c r="M70" s="26" t="str"/>
      <x:c r="N70" s="26" t="str"/>
      <x:c r="O70" s="26" t="str"/>
      <x:c r="P70" s="26" t="str">
        <x:v>NONE</x:v>
      </x:c>
      <x:c r="Q70" s="26" t="str">
        <x:v>BATTERY_CAPACITY_UNQUALIFIED</x:v>
      </x:c>
      <x:c r="R70" s="26" t="str"/>
      <x:c r="S70" s="26" t="str"/>
      <x:c r="T70" s="26" t="str"/>
      <x:c r="U70" s="26" t="str"/>
      <x:c r="V70" s="26"/>
      <x:c r="W70" s="26"/>
      <x:c r="X70" s="26"/>
      <x:c r="Y70" s="26"/>
      <x:c r="Z70" s="26"/>
    </x:row>
    <x:row r="71">
      <x:c r="A71" s="26" t="str">
        <x:v>FAC-000070</x:v>
      </x:c>
      <x:c r="B71" s="26" t="str">
        <x:v>POWERTRAIN</x:v>
      </x:c>
      <x:c r="C71" s="26" t="str">
        <x:v>PWR-000006</x:v>
      </x:c>
      <x:c r="D71" s="26" t="str">
        <x:v>dc_charge_time_min</x:v>
      </x:c>
      <x:c r="E71" s="26" t="str">
        <x:v>NUMBER</x:v>
      </x:c>
      <x:c r="F71" s="26" t="n">
        <x:v>29</x:v>
      </x:c>
      <x:c r="G71" s="26" t="str">
        <x:v>min</x:v>
      </x:c>
      <x:c r="H71" s="26" t="str">
        <x:v>VERIFIED</x:v>
      </x:c>
      <x:c r="I71" s="26" t="str">
        <x:v>SOC 10–80%; 101 kW DC</x:v>
      </x:c>
      <x:c r="J71" s="26" t="n">
        <x:v>2026</x:v>
      </x:c>
      <x:c r="K71" s="26" t="n">
        <x:v>2026</x:v>
      </x:c>
      <x:c r="L71" s="26" t="str">
        <x:v>TR</x:v>
      </x:c>
      <x:c r="M71" s="26" t="str"/>
      <x:c r="N71" s="26" t="str"/>
      <x:c r="O71" s="26" t="str"/>
      <x:c r="P71" s="26" t="str">
        <x:v>NONE</x:v>
      </x:c>
      <x:c r="Q71" s="26" t="str">
        <x:v>CHARGE_TIME_WITH_SOC_CONTEXT</x:v>
      </x:c>
      <x:c r="R71" s="26" t="str"/>
      <x:c r="S71" s="26" t="n">
        <x:v>10</x:v>
      </x:c>
      <x:c r="T71" s="26" t="n">
        <x:v>80</x:v>
      </x:c>
      <x:c r="U71" s="26" t="n">
        <x:v>101</x:v>
      </x:c>
      <x:c r="V71" s="26"/>
      <x:c r="W71" s="26"/>
      <x:c r="X71" s="26"/>
      <x:c r="Y71" s="26"/>
      <x:c r="Z71" s="26"/>
    </x:row>
    <x:row r="72">
      <x:c r="A72" s="26" t="str">
        <x:v>FAC-000071</x:v>
      </x:c>
      <x:c r="B72" s="26" t="str">
        <x:v>POWERTRAIN</x:v>
      </x:c>
      <x:c r="C72" s="26" t="str">
        <x:v>PWR-000007</x:v>
      </x:c>
      <x:c r="D72" s="26" t="str">
        <x:v>power_kw</x:v>
      </x:c>
      <x:c r="E72" s="26" t="str">
        <x:v>NUMBER</x:v>
      </x:c>
      <x:c r="F72" s="26" t="n">
        <x:v>160</x:v>
      </x:c>
      <x:c r="G72" s="26" t="str">
        <x:v>kW</x:v>
      </x:c>
      <x:c r="H72" s="26" t="str">
        <x:v>REPORTED</x:v>
      </x:c>
      <x:c r="I72" s="26" t="str">
        <x:v>T10X V2</x:v>
      </x:c>
      <x:c r="J72" s="26" t="n">
        <x:v>2026</x:v>
      </x:c>
      <x:c r="K72" s="26" t="n">
        <x:v>2026</x:v>
      </x:c>
      <x:c r="L72" s="26" t="str">
        <x:v>TR</x:v>
      </x:c>
      <x:c r="M72" s="26" t="str">
        <x:v>Exact CFG mapping pending.</x:v>
      </x:c>
      <x:c r="N72" s="26" t="str"/>
      <x:c r="O72" s="26" t="str"/>
      <x:c r="P72" s="26" t="str">
        <x:v>NONE</x:v>
      </x:c>
      <x:c r="Q72" s="26" t="str">
        <x:v>EXACT_SCALAR</x:v>
      </x:c>
      <x:c r="R72" s="26" t="str"/>
      <x:c r="S72" s="26" t="str"/>
      <x:c r="T72" s="26" t="str"/>
      <x:c r="U72" s="26" t="str"/>
      <x:c r="V72" s="26"/>
      <x:c r="W72" s="26"/>
      <x:c r="X72" s="26"/>
      <x:c r="Y72" s="26"/>
      <x:c r="Z72" s="26"/>
    </x:row>
    <x:row r="73">
      <x:c r="A73" s="26" t="str">
        <x:v>FAC-000072</x:v>
      </x:c>
      <x:c r="B73" s="26" t="str">
        <x:v>CONFIGURATION</x:v>
      </x:c>
      <x:c r="C73" s="26" t="str">
        <x:v>CFG-000007</x:v>
      </x:c>
      <x:c r="D73" s="26" t="str">
        <x:v>official_electric_range</x:v>
      </x:c>
      <x:c r="E73" s="26" t="str">
        <x:v>NUMBER</x:v>
      </x:c>
      <x:c r="F73" s="26" t="n">
        <x:v>523</x:v>
      </x:c>
      <x:c r="G73" s="26" t="str">
        <x:v>km</x:v>
      </x:c>
      <x:c r="H73" s="26" t="str">
        <x:v>REPORTED</x:v>
      </x:c>
      <x:c r="I73" s="26" t="str">
        <x:v>Product page: up to, Long Range</x:v>
      </x:c>
      <x:c r="J73" s="26" t="n">
        <x:v>2026</x:v>
      </x:c>
      <x:c r="K73" s="26" t="n">
        <x:v>2026</x:v>
      </x:c>
      <x:c r="L73" s="26" t="str">
        <x:v>TR</x:v>
      </x:c>
      <x:c r="M73" s="26" t="str"/>
      <x:c r="N73" s="26" t="str"/>
      <x:c r="O73" s="26" t="str"/>
      <x:c r="P73" s="26" t="str">
        <x:v>NONE</x:v>
      </x:c>
      <x:c r="Q73" s="26" t="str">
        <x:v>EXACT_SCALAR</x:v>
      </x:c>
      <x:c r="R73" s="26" t="str"/>
      <x:c r="S73" s="26" t="str"/>
      <x:c r="T73" s="26" t="str"/>
      <x:c r="U73" s="26" t="str"/>
      <x:c r="V73" s="26"/>
      <x:c r="W73" s="26"/>
      <x:c r="X73" s="26"/>
      <x:c r="Y73" s="26"/>
      <x:c r="Z73" s="26"/>
    </x:row>
    <x:row r="74">
      <x:c r="A74" s="26" t="str">
        <x:v>FAC-000073</x:v>
      </x:c>
      <x:c r="B74" s="26" t="str">
        <x:v>CONFIGURATION</x:v>
      </x:c>
      <x:c r="C74" s="26" t="str">
        <x:v>CFG-000007</x:v>
      </x:c>
      <x:c r="D74" s="26" t="str">
        <x:v>official_electric_range</x:v>
      </x:c>
      <x:c r="E74" s="26" t="str">
        <x:v>NUMBER</x:v>
      </x:c>
      <x:c r="F74" s="26" t="n">
        <x:v>610</x:v>
      </x:c>
      <x:c r="G74" s="26" t="str">
        <x:v>km</x:v>
      </x:c>
      <x:c r="H74" s="26" t="str">
        <x:v>REPORTED</x:v>
      </x:c>
      <x:c r="I74" s="26" t="str">
        <x:v>Media center: V2, combined, 18-inch</x:v>
      </x:c>
      <x:c r="J74" s="26" t="n">
        <x:v>2026</x:v>
      </x:c>
      <x:c r="K74" s="26" t="n">
        <x:v>2026</x:v>
      </x:c>
      <x:c r="L74" s="26" t="str">
        <x:v>TR</x:v>
      </x:c>
      <x:c r="M74" s="26" t="str">
        <x:v>Do not merge with 523 km until identity is resolved.</x:v>
      </x:c>
      <x:c r="N74" s="26" t="str"/>
      <x:c r="O74" s="26" t="str"/>
      <x:c r="P74" s="26" t="str">
        <x:v>NONE</x:v>
      </x:c>
      <x:c r="Q74" s="26" t="str">
        <x:v>EXACT_SCALAR</x:v>
      </x:c>
      <x:c r="R74" s="26" t="str"/>
      <x:c r="S74" s="26" t="str"/>
      <x:c r="T74" s="26" t="str"/>
      <x:c r="U74" s="26" t="str"/>
      <x:c r="V74" s="26"/>
      <x:c r="W74" s="26"/>
      <x:c r="X74" s="26"/>
      <x:c r="Y74" s="26"/>
      <x:c r="Z74" s="26"/>
    </x:row>
    <x:row r="75">
      <x:c r="A75" s="26" t="str">
        <x:v>FAC-000074</x:v>
      </x:c>
      <x:c r="B75" s="26" t="str">
        <x:v>CONFIGURATION</x:v>
      </x:c>
      <x:c r="C75" s="26" t="str">
        <x:v>CFG-000007</x:v>
      </x:c>
      <x:c r="D75" s="26" t="str">
        <x:v>cargo_volume_l</x:v>
      </x:c>
      <x:c r="E75" s="26" t="str">
        <x:v>NUMBER</x:v>
      </x:c>
      <x:c r="F75" s="26" t="n">
        <x:v>505</x:v>
      </x:c>
      <x:c r="G75" s="26" t="str">
        <x:v>L</x:v>
      </x:c>
      <x:c r="H75" s="26" t="str">
        <x:v>REPORTED</x:v>
      </x:c>
      <x:c r="I75" s="26" t="str">
        <x:v>T10X V2</x:v>
      </x:c>
      <x:c r="J75" s="26" t="n">
        <x:v>2026</x:v>
      </x:c>
      <x:c r="K75" s="26" t="n">
        <x:v>2026</x:v>
      </x:c>
      <x:c r="L75" s="26" t="str">
        <x:v>TR</x:v>
      </x:c>
      <x:c r="M75" s="26" t="str"/>
      <x:c r="N75" s="26" t="str"/>
      <x:c r="O75" s="26" t="str"/>
      <x:c r="P75" s="26" t="str">
        <x:v>NONE</x:v>
      </x:c>
      <x:c r="Q75" s="26" t="str">
        <x:v>EXACT_SCALAR</x:v>
      </x:c>
      <x:c r="R75" s="26" t="str"/>
      <x:c r="S75" s="26" t="str"/>
      <x:c r="T75" s="26" t="str"/>
      <x:c r="U75" s="26" t="str"/>
      <x:c r="V75" s="26"/>
      <x:c r="W75" s="26"/>
      <x:c r="X75" s="26"/>
      <x:c r="Y75" s="26"/>
      <x:c r="Z75" s="26"/>
    </x:row>
    <x:row r="76">
      <x:c r="A76" s="26" t="str">
        <x:v>FAC-000075</x:v>
      </x:c>
      <x:c r="B76" s="26" t="str">
        <x:v>CONFIGURATION</x:v>
      </x:c>
      <x:c r="C76" s="26" t="str">
        <x:v>CFG-000007</x:v>
      </x:c>
      <x:c r="D76" s="26" t="str">
        <x:v>dc_charge_time_min</x:v>
      </x:c>
      <x:c r="E76" s="26" t="str">
        <x:v>NUMBER</x:v>
      </x:c>
      <x:c r="F76" s="26" t="n">
        <x:v>26.5</x:v>
      </x:c>
      <x:c r="G76" s="26" t="str">
        <x:v>min</x:v>
      </x:c>
      <x:c r="H76" s="26" t="str">
        <x:v>REPORTED</x:v>
      </x:c>
      <x:c r="I76" s="26" t="str">
        <x:v>SOC 20–80%; 180 kW DC</x:v>
      </x:c>
      <x:c r="J76" s="26" t="n">
        <x:v>2026</x:v>
      </x:c>
      <x:c r="K76" s="26" t="n">
        <x:v>2026</x:v>
      </x:c>
      <x:c r="L76" s="26" t="str">
        <x:v>TR</x:v>
      </x:c>
      <x:c r="M76" s="26" t="str"/>
      <x:c r="N76" s="26" t="str"/>
      <x:c r="O76" s="26" t="str"/>
      <x:c r="P76" s="26" t="str">
        <x:v>NONE</x:v>
      </x:c>
      <x:c r="Q76" s="26" t="str">
        <x:v>CHARGE_TIME_WITH_SOC_CONTEXT</x:v>
      </x:c>
      <x:c r="R76" s="26" t="str"/>
      <x:c r="S76" s="26" t="n">
        <x:v>20</x:v>
      </x:c>
      <x:c r="T76" s="26" t="n">
        <x:v>80</x:v>
      </x:c>
      <x:c r="U76" s="26" t="n">
        <x:v>180</x:v>
      </x:c>
      <x:c r="V76" s="26"/>
      <x:c r="W76" s="26"/>
      <x:c r="X76" s="26"/>
      <x:c r="Y76" s="26"/>
      <x:c r="Z76" s="26"/>
    </x:row>
    <x:row r="77">
      <x:c r="A77" s="26" t="str">
        <x:v>FAC-000076</x:v>
      </x:c>
      <x:c r="B77" s="26" t="str">
        <x:v>CONFIGURATION</x:v>
      </x:c>
      <x:c r="C77" s="26" t="str">
        <x:v>CFG-000007</x:v>
      </x:c>
      <x:c r="D77" s="26" t="str">
        <x:v>dc_charge_time_min</x:v>
      </x:c>
      <x:c r="E77" s="26" t="str">
        <x:v>NUMBER</x:v>
      </x:c>
      <x:c r="F77" s="26" t="n">
        <x:v>28</x:v>
      </x:c>
      <x:c r="G77" s="26" t="str">
        <x:v>min</x:v>
      </x:c>
      <x:c r="H77" s="26" t="str">
        <x:v>REPORTED</x:v>
      </x:c>
      <x:c r="I77" s="26" t="str">
        <x:v>SOC 20–80%; 180 kW DC</x:v>
      </x:c>
      <x:c r="J77" s="26" t="n">
        <x:v>2026</x:v>
      </x:c>
      <x:c r="K77" s="26" t="n">
        <x:v>2026</x:v>
      </x:c>
      <x:c r="L77" s="26" t="str">
        <x:v>TR</x:v>
      </x:c>
      <x:c r="M77" s="26" t="str">
        <x:v>Official-source discrepancy preserved.</x:v>
      </x:c>
      <x:c r="N77" s="26" t="str"/>
      <x:c r="O77" s="26" t="str"/>
      <x:c r="P77" s="26" t="str">
        <x:v>NONE</x:v>
      </x:c>
      <x:c r="Q77" s="26" t="str">
        <x:v>CHARGE_TIME_WITH_SOC_CONTEXT</x:v>
      </x:c>
      <x:c r="R77" s="26" t="str"/>
      <x:c r="S77" s="26" t="n">
        <x:v>20</x:v>
      </x:c>
      <x:c r="T77" s="26" t="n">
        <x:v>80</x:v>
      </x:c>
      <x:c r="U77" s="26" t="n">
        <x:v>180</x:v>
      </x:c>
      <x:c r="V77" s="26"/>
      <x:c r="W77" s="26"/>
      <x:c r="X77" s="26"/>
      <x:c r="Y77" s="26"/>
      <x:c r="Z77" s="26"/>
    </x:row>
    <x:row r="78">
      <x:c r="A78" s="26" t="str">
        <x:v>FAC-000077</x:v>
      </x:c>
      <x:c r="B78" s="26" t="str">
        <x:v>POWERTRAIN</x:v>
      </x:c>
      <x:c r="C78" s="26" t="str">
        <x:v>PWR-000008</x:v>
      </x:c>
      <x:c r="D78" s="26" t="str">
        <x:v>engine_displacement_cc</x:v>
      </x:c>
      <x:c r="E78" s="26" t="str">
        <x:v>NUMBER</x:v>
      </x:c>
      <x:c r="F78" s="26" t="n">
        <x:v>1199</x:v>
      </x:c>
      <x:c r="G78" s="26" t="str">
        <x:v>cc</x:v>
      </x:c>
      <x:c r="H78" s="26" t="str">
        <x:v>VERIFIED</x:v>
      </x:c>
      <x:c r="I78" s="26" t="str"/>
      <x:c r="J78" s="26" t="n">
        <x:v>2026</x:v>
      </x:c>
      <x:c r="K78" s="26" t="n">
        <x:v>2026</x:v>
      </x:c>
      <x:c r="L78" s="26" t="str">
        <x:v>TR</x:v>
      </x:c>
      <x:c r="M78" s="26" t="str"/>
      <x:c r="N78" s="26" t="str"/>
      <x:c r="O78" s="26" t="str"/>
      <x:c r="P78" s="26" t="str">
        <x:v>NONE</x:v>
      </x:c>
      <x:c r="Q78" s="26" t="str">
        <x:v>EXACT_SCALAR</x:v>
      </x:c>
      <x:c r="R78" s="26" t="str"/>
      <x:c r="S78" s="26" t="str"/>
      <x:c r="T78" s="26" t="str"/>
      <x:c r="U78" s="26" t="str"/>
      <x:c r="V78" s="26"/>
      <x:c r="W78" s="26"/>
      <x:c r="X78" s="26"/>
      <x:c r="Y78" s="26"/>
      <x:c r="Z78" s="26"/>
    </x:row>
    <x:row r="79">
      <x:c r="A79" s="26" t="str">
        <x:v>FAC-000078</x:v>
      </x:c>
      <x:c r="B79" s="26" t="str">
        <x:v>POWERTRAIN</x:v>
      </x:c>
      <x:c r="C79" s="26" t="str">
        <x:v>PWR-000008</x:v>
      </x:c>
      <x:c r="D79" s="26" t="str">
        <x:v>torque_nm</x:v>
      </x:c>
      <x:c r="E79" s="26" t="str">
        <x:v>NUMBER</x:v>
      </x:c>
      <x:c r="F79" s="26" t="n">
        <x:v>197</x:v>
      </x:c>
      <x:c r="G79" s="26" t="str">
        <x:v>Nm</x:v>
      </x:c>
      <x:c r="H79" s="26" t="str">
        <x:v>VERIFIED</x:v>
      </x:c>
      <x:c r="I79" s="26" t="str"/>
      <x:c r="J79" s="26" t="n">
        <x:v>2026</x:v>
      </x:c>
      <x:c r="K79" s="26" t="n">
        <x:v>2026</x:v>
      </x:c>
      <x:c r="L79" s="26" t="str">
        <x:v>TR</x:v>
      </x:c>
      <x:c r="M79" s="26" t="str"/>
      <x:c r="N79" s="26" t="str"/>
      <x:c r="O79" s="26" t="str"/>
      <x:c r="P79" s="26" t="str">
        <x:v>NONE</x:v>
      </x:c>
      <x:c r="Q79" s="26" t="str">
        <x:v>EXACT_SCALAR</x:v>
      </x:c>
      <x:c r="R79" s="26" t="str"/>
      <x:c r="S79" s="26" t="str"/>
      <x:c r="T79" s="26" t="str"/>
      <x:c r="U79" s="26" t="str"/>
      <x:c r="V79" s="26"/>
      <x:c r="W79" s="26"/>
      <x:c r="X79" s="26"/>
      <x:c r="Y79" s="26"/>
      <x:c r="Z79" s="26"/>
    </x:row>
    <x:row r="80">
      <x:c r="A80" s="26" t="str">
        <x:v>FAC-000079</x:v>
      </x:c>
      <x:c r="B80" s="26" t="str">
        <x:v>GENERATION</x:v>
      </x:c>
      <x:c r="C80" s="26" t="str">
        <x:v>GEN-000008</x:v>
      </x:c>
      <x:c r="D80" s="26" t="str">
        <x:v>length_mm</x:v>
      </x:c>
      <x:c r="E80" s="26" t="str">
        <x:v>NUMBER</x:v>
      </x:c>
      <x:c r="F80" s="26" t="n">
        <x:v>4102</x:v>
      </x:c>
      <x:c r="G80" s="26" t="str">
        <x:v>mm</x:v>
      </x:c>
      <x:c r="H80" s="26" t="str">
        <x:v>VERIFIED</x:v>
      </x:c>
      <x:c r="I80" s="26" t="str"/>
      <x:c r="J80" s="26" t="n">
        <x:v>2026</x:v>
      </x:c>
      <x:c r="K80" s="26" t="n">
        <x:v>2026</x:v>
      </x:c>
      <x:c r="L80" s="26" t="str">
        <x:v>TR</x:v>
      </x:c>
      <x:c r="M80" s="26" t="str"/>
      <x:c r="N80" s="26" t="str"/>
      <x:c r="O80" s="26" t="str"/>
      <x:c r="P80" s="26" t="str">
        <x:v>NONE</x:v>
      </x:c>
      <x:c r="Q80" s="26" t="str">
        <x:v>EXACT_SCALAR</x:v>
      </x:c>
      <x:c r="R80" s="26" t="str"/>
      <x:c r="S80" s="26" t="str"/>
      <x:c r="T80" s="26" t="str"/>
      <x:c r="U80" s="26" t="str"/>
      <x:c r="V80" s="26"/>
      <x:c r="W80" s="26"/>
      <x:c r="X80" s="26"/>
      <x:c r="Y80" s="26"/>
      <x:c r="Z80" s="26"/>
    </x:row>
    <x:row r="81">
      <x:c r="A81" s="26" t="str">
        <x:v>FAC-000080</x:v>
      </x:c>
      <x:c r="B81" s="26" t="str">
        <x:v>GENERATION</x:v>
      </x:c>
      <x:c r="C81" s="26" t="str">
        <x:v>GEN-000008</x:v>
      </x:c>
      <x:c r="D81" s="26" t="str">
        <x:v>width_mm</x:v>
      </x:c>
      <x:c r="E81" s="26" t="str">
        <x:v>NUMBER</x:v>
      </x:c>
      <x:c r="F81" s="26" t="n">
        <x:v>1853</x:v>
      </x:c>
      <x:c r="G81" s="26" t="str">
        <x:v>mm</x:v>
      </x:c>
      <x:c r="H81" s="26" t="str">
        <x:v>VERIFIED</x:v>
      </x:c>
      <x:c r="I81" s="26" t="str">
        <x:v>mirrors excluded</x:v>
      </x:c>
      <x:c r="J81" s="26" t="n">
        <x:v>2026</x:v>
      </x:c>
      <x:c r="K81" s="26" t="n">
        <x:v>2026</x:v>
      </x:c>
      <x:c r="L81" s="26" t="str">
        <x:v>TR</x:v>
      </x:c>
      <x:c r="M81" s="26" t="str"/>
      <x:c r="N81" s="26" t="str"/>
      <x:c r="O81" s="26" t="str"/>
      <x:c r="P81" s="26" t="str">
        <x:v>NONE</x:v>
      </x:c>
      <x:c r="Q81" s="26" t="str">
        <x:v>EXACT_SCALAR</x:v>
      </x:c>
      <x:c r="R81" s="26" t="str"/>
      <x:c r="S81" s="26" t="str"/>
      <x:c r="T81" s="26" t="str"/>
      <x:c r="U81" s="26" t="str"/>
      <x:c r="V81" s="26"/>
      <x:c r="W81" s="26"/>
      <x:c r="X81" s="26"/>
      <x:c r="Y81" s="26"/>
      <x:c r="Z81" s="26"/>
    </x:row>
    <x:row r="82">
      <x:c r="A82" s="26" t="str">
        <x:v>FAC-000081</x:v>
      </x:c>
      <x:c r="B82" s="26" t="str">
        <x:v>GENERATION</x:v>
      </x:c>
      <x:c r="C82" s="26" t="str">
        <x:v>GEN-000008</x:v>
      </x:c>
      <x:c r="D82" s="26" t="str">
        <x:v>height_mm</x:v>
      </x:c>
      <x:c r="E82" s="26" t="str">
        <x:v>NUMBER</x:v>
      </x:c>
      <x:c r="F82" s="26" t="n">
        <x:v>1535</x:v>
      </x:c>
      <x:c r="G82" s="26" t="str">
        <x:v>mm</x:v>
      </x:c>
      <x:c r="H82" s="26" t="str">
        <x:v>VERIFIED</x:v>
      </x:c>
      <x:c r="I82" s="26" t="str"/>
      <x:c r="J82" s="26" t="n">
        <x:v>2026</x:v>
      </x:c>
      <x:c r="K82" s="26" t="n">
        <x:v>2026</x:v>
      </x:c>
      <x:c r="L82" s="26" t="str">
        <x:v>TR</x:v>
      </x:c>
      <x:c r="M82" s="26" t="str"/>
      <x:c r="N82" s="26" t="str"/>
      <x:c r="O82" s="26" t="str"/>
      <x:c r="P82" s="26" t="str">
        <x:v>NONE</x:v>
      </x:c>
      <x:c r="Q82" s="26" t="str">
        <x:v>EXACT_SCALAR</x:v>
      </x:c>
      <x:c r="R82" s="26" t="str"/>
      <x:c r="S82" s="26" t="str"/>
      <x:c r="T82" s="26" t="str"/>
      <x:c r="U82" s="26" t="str"/>
      <x:c r="V82" s="26"/>
      <x:c r="W82" s="26"/>
      <x:c r="X82" s="26"/>
      <x:c r="Y82" s="26"/>
      <x:c r="Z82" s="26"/>
    </x:row>
    <x:row r="83">
      <x:c r="A83" s="26" t="str">
        <x:v>FAC-000082</x:v>
      </x:c>
      <x:c r="B83" s="26" t="str">
        <x:v>CONFIGURATION</x:v>
      </x:c>
      <x:c r="C83" s="26" t="str">
        <x:v>CFG-000008</x:v>
      </x:c>
      <x:c r="D83" s="26" t="str">
        <x:v>ground_clearance_mm</x:v>
      </x:c>
      <x:c r="E83" s="26" t="str">
        <x:v>NUMBER</x:v>
      </x:c>
      <x:c r="F83" s="26" t="n">
        <x:v>200</x:v>
      </x:c>
      <x:c r="G83" s="26" t="str">
        <x:v>mm</x:v>
      </x:c>
      <x:c r="H83" s="26" t="str">
        <x:v>VERIFIED</x:v>
      </x:c>
      <x:c r="I83" s="26" t="str"/>
      <x:c r="J83" s="26" t="n">
        <x:v>2026</x:v>
      </x:c>
      <x:c r="K83" s="26" t="n">
        <x:v>2026</x:v>
      </x:c>
      <x:c r="L83" s="26" t="str">
        <x:v>TR</x:v>
      </x:c>
      <x:c r="M83" s="26" t="str"/>
      <x:c r="N83" s="26" t="str"/>
      <x:c r="O83" s="26" t="str"/>
      <x:c r="P83" s="26" t="str">
        <x:v>NONE</x:v>
      </x:c>
      <x:c r="Q83" s="26" t="str">
        <x:v>EXACT_SCALAR</x:v>
      </x:c>
      <x:c r="R83" s="26" t="str"/>
      <x:c r="S83" s="26" t="str"/>
      <x:c r="T83" s="26" t="str"/>
      <x:c r="U83" s="26" t="str"/>
      <x:c r="V83" s="26"/>
      <x:c r="W83" s="26"/>
      <x:c r="X83" s="26"/>
      <x:c r="Y83" s="26"/>
      <x:c r="Z83" s="26"/>
    </x:row>
    <x:row r="84">
      <x:c r="A84" s="26" t="str">
        <x:v>FAC-000083</x:v>
      </x:c>
      <x:c r="B84" s="26" t="str">
        <x:v>POWERTRAIN</x:v>
      </x:c>
      <x:c r="C84" s="26" t="str">
        <x:v>PWR-000008</x:v>
      </x:c>
      <x:c r="D84" s="26" t="str">
        <x:v>official_fuel_consumption_combined</x:v>
      </x:c>
      <x:c r="E84" s="26" t="str">
        <x:v>NUMBER</x:v>
      </x:c>
      <x:c r="F84" s="26" t="n">
        <x:v>7.3</x:v>
      </x:c>
      <x:c r="G84" s="26" t="str">
        <x:v>L/100km</x:v>
      </x:c>
      <x:c r="H84" s="26" t="str">
        <x:v>VERIFIED</x:v>
      </x:c>
      <x:c r="I84" s="26" t="str">
        <x:v>WLTP</x:v>
      </x:c>
      <x:c r="J84" s="26" t="n">
        <x:v>2026</x:v>
      </x:c>
      <x:c r="K84" s="26" t="n">
        <x:v>2026</x:v>
      </x:c>
      <x:c r="L84" s="26" t="str">
        <x:v>TR</x:v>
      </x:c>
      <x:c r="M84" s="26" t="str"/>
      <x:c r="N84" s="26" t="str"/>
      <x:c r="O84" s="26" t="str"/>
      <x:c r="P84" s="26" t="str">
        <x:v>NONE</x:v>
      </x:c>
      <x:c r="Q84" s="26" t="str">
        <x:v>EXACT_SCALAR</x:v>
      </x:c>
      <x:c r="R84" s="26" t="str"/>
      <x:c r="S84" s="26" t="str"/>
      <x:c r="T84" s="26" t="str"/>
      <x:c r="U84" s="26" t="str"/>
      <x:c r="V84" s="26"/>
      <x:c r="W84" s="26"/>
      <x:c r="X84" s="26"/>
      <x:c r="Y84" s="26"/>
      <x:c r="Z84" s="26"/>
    </x:row>
    <x:row r="85">
      <x:c r="A85" s="26" t="str">
        <x:v>FAC-000084</x:v>
      </x:c>
      <x:c r="B85" s="26" t="str">
        <x:v>GENERATION</x:v>
      </x:c>
      <x:c r="C85" s="26" t="str">
        <x:v>GEN-000008</x:v>
      </x:c>
      <x:c r="D85" s="26" t="str">
        <x:v>cargo_volume_max_l</x:v>
      </x:c>
      <x:c r="E85" s="26" t="str">
        <x:v>NUMBER</x:v>
      </x:c>
      <x:c r="F85" s="26" t="n">
        <x:v>1455</x:v>
      </x:c>
      <x:c r="G85" s="26" t="str">
        <x:v>L</x:v>
      </x:c>
      <x:c r="H85" s="26" t="str">
        <x:v>VERIFIED</x:v>
      </x:c>
      <x:c r="I85" s="26" t="str">
        <x:v>up to; rear seats folded</x:v>
      </x:c>
      <x:c r="J85" s="26" t="n">
        <x:v>2026</x:v>
      </x:c>
      <x:c r="K85" s="26" t="n">
        <x:v>2026</x:v>
      </x:c>
      <x:c r="L85" s="26" t="str">
        <x:v>TR</x:v>
      </x:c>
      <x:c r="M85" s="26" t="str"/>
      <x:c r="N85" s="26" t="str"/>
      <x:c r="O85" s="26" t="str"/>
      <x:c r="P85" s="26" t="str">
        <x:v>NONE</x:v>
      </x:c>
      <x:c r="Q85" s="26" t="str">
        <x:v>EXACT_SCALAR</x:v>
      </x:c>
      <x:c r="R85" s="26" t="str"/>
      <x:c r="S85" s="26" t="str"/>
      <x:c r="T85" s="26" t="str"/>
      <x:c r="U85" s="26" t="str"/>
      <x:c r="V85" s="26"/>
      <x:c r="W85" s="26"/>
      <x:c r="X85" s="26"/>
      <x:c r="Y85" s="26"/>
      <x:c r="Z85" s="26"/>
    </x:row>
    <x:row r="86">
      <x:c r="A86" s="26" t="str">
        <x:v>FAC-000085</x:v>
      </x:c>
      <x:c r="B86" s="26" t="str">
        <x:v>POWERTRAIN</x:v>
      </x:c>
      <x:c r="C86" s="26" t="str">
        <x:v>PWR-000009</x:v>
      </x:c>
      <x:c r="D86" s="26" t="str">
        <x:v>engine_displacement_cc</x:v>
      </x:c>
      <x:c r="E86" s="26" t="str">
        <x:v>NUMBER</x:v>
      </x:c>
      <x:c r="F86" s="26" t="n">
        <x:v>998</x:v>
      </x:c>
      <x:c r="G86" s="26" t="str">
        <x:v>cc</x:v>
      </x:c>
      <x:c r="H86" s="26" t="str">
        <x:v>VERIFIED</x:v>
      </x:c>
      <x:c r="I86" s="26" t="str"/>
      <x:c r="J86" s="26" t="n">
        <x:v>2026</x:v>
      </x:c>
      <x:c r="K86" s="26" t="n">
        <x:v>2026</x:v>
      </x:c>
      <x:c r="L86" s="26" t="str">
        <x:v>TR</x:v>
      </x:c>
      <x:c r="M86" s="26" t="str"/>
      <x:c r="N86" s="26" t="str"/>
      <x:c r="O86" s="26" t="str"/>
      <x:c r="P86" s="26" t="str">
        <x:v>NONE</x:v>
      </x:c>
      <x:c r="Q86" s="26" t="str">
        <x:v>EXACT_SCALAR</x:v>
      </x:c>
      <x:c r="R86" s="26" t="n">
        <x:v>998</x:v>
      </x:c>
      <x:c r="S86" s="26" t="str"/>
      <x:c r="T86" s="26" t="str"/>
      <x:c r="U86" s="26" t="str"/>
      <x:c r="V86" s="26"/>
      <x:c r="W86" s="26"/>
      <x:c r="X86" s="26"/>
      <x:c r="Y86" s="26"/>
      <x:c r="Z86" s="26"/>
    </x:row>
    <x:row r="87">
      <x:c r="A87" s="26" t="str">
        <x:v>FAC-000086</x:v>
      </x:c>
      <x:c r="B87" s="26" t="str">
        <x:v>POWERTRAIN</x:v>
      </x:c>
      <x:c r="C87" s="26" t="str">
        <x:v>PWR-000009</x:v>
      </x:c>
      <x:c r="D87" s="26" t="str">
        <x:v>power_kw</x:v>
      </x:c>
      <x:c r="E87" s="26" t="str">
        <x:v>NUMBER</x:v>
      </x:c>
      <x:c r="F87" s="26" t="n">
        <x:v>66</x:v>
      </x:c>
      <x:c r="G87" s="26" t="str">
        <x:v>kW</x:v>
      </x:c>
      <x:c r="H87" s="26" t="str">
        <x:v>VERIFIED</x:v>
      </x:c>
      <x:c r="I87" s="26" t="str"/>
      <x:c r="J87" s="26" t="n">
        <x:v>2026</x:v>
      </x:c>
      <x:c r="K87" s="26" t="n">
        <x:v>2026</x:v>
      </x:c>
      <x:c r="L87" s="26" t="str">
        <x:v>TR</x:v>
      </x:c>
      <x:c r="M87" s="26" t="str"/>
      <x:c r="N87" s="26" t="str"/>
      <x:c r="O87" s="26" t="str"/>
      <x:c r="P87" s="26" t="str">
        <x:v>NONE</x:v>
      </x:c>
      <x:c r="Q87" s="26" t="str">
        <x:v>EXACT_SCALAR</x:v>
      </x:c>
      <x:c r="R87" s="26" t="n">
        <x:v>66</x:v>
      </x:c>
      <x:c r="S87" s="26" t="str"/>
      <x:c r="T87" s="26" t="str"/>
      <x:c r="U87" s="26" t="str"/>
      <x:c r="V87" s="26"/>
      <x:c r="W87" s="26"/>
      <x:c r="X87" s="26"/>
      <x:c r="Y87" s="26"/>
      <x:c r="Z87" s="26"/>
    </x:row>
    <x:row r="88">
      <x:c r="A88" s="26" t="str">
        <x:v>FAC-000087</x:v>
      </x:c>
      <x:c r="B88" s="26" t="str">
        <x:v>POWERTRAIN</x:v>
      </x:c>
      <x:c r="C88" s="26" t="str">
        <x:v>PWR-000009</x:v>
      </x:c>
      <x:c r="D88" s="26" t="str">
        <x:v>torque_nm</x:v>
      </x:c>
      <x:c r="E88" s="26" t="str">
        <x:v>NUMBER</x:v>
      </x:c>
      <x:c r="F88" s="26" t="n">
        <x:v>172</x:v>
      </x:c>
      <x:c r="G88" s="26" t="str">
        <x:v>Nm</x:v>
      </x:c>
      <x:c r="H88" s="26" t="str">
        <x:v>VERIFIED</x:v>
      </x:c>
      <x:c r="I88" s="26" t="str"/>
      <x:c r="J88" s="26" t="n">
        <x:v>2026</x:v>
      </x:c>
      <x:c r="K88" s="26" t="n">
        <x:v>2026</x:v>
      </x:c>
      <x:c r="L88" s="26" t="str">
        <x:v>TR</x:v>
      </x:c>
      <x:c r="M88" s="26" t="str"/>
      <x:c r="N88" s="26" t="str"/>
      <x:c r="O88" s="26" t="str"/>
      <x:c r="P88" s="26" t="str">
        <x:v>NONE</x:v>
      </x:c>
      <x:c r="Q88" s="26" t="str">
        <x:v>EXACT_SCALAR</x:v>
      </x:c>
      <x:c r="R88" s="26" t="n">
        <x:v>172</x:v>
      </x:c>
      <x:c r="S88" s="26" t="str"/>
      <x:c r="T88" s="26" t="str"/>
      <x:c r="U88" s="26" t="str"/>
      <x:c r="V88" s="26"/>
      <x:c r="W88" s="26"/>
      <x:c r="X88" s="26"/>
      <x:c r="Y88" s="26"/>
      <x:c r="Z88" s="26"/>
    </x:row>
    <x:row r="89">
      <x:c r="A89" s="26" t="str">
        <x:v>FAC-000088</x:v>
      </x:c>
      <x:c r="B89" s="26" t="str">
        <x:v>POWERTRAIN</x:v>
      </x:c>
      <x:c r="C89" s="26" t="str">
        <x:v>PWR-000010</x:v>
      </x:c>
      <x:c r="D89" s="26" t="str">
        <x:v>engine_displacement_cc</x:v>
      </x:c>
      <x:c r="E89" s="26" t="str">
        <x:v>NUMBER</x:v>
      </x:c>
      <x:c r="F89" s="26" t="n">
        <x:v>1498</x:v>
      </x:c>
      <x:c r="G89" s="26" t="str">
        <x:v>cc</x:v>
      </x:c>
      <x:c r="H89" s="26" t="str">
        <x:v>VERIFIED</x:v>
      </x:c>
      <x:c r="I89" s="26" t="str"/>
      <x:c r="J89" s="26" t="n">
        <x:v>2026</x:v>
      </x:c>
      <x:c r="K89" s="26" t="n">
        <x:v>2026</x:v>
      </x:c>
      <x:c r="L89" s="26" t="str">
        <x:v>TR</x:v>
      </x:c>
      <x:c r="M89" s="26" t="str"/>
      <x:c r="N89" s="26" t="str"/>
      <x:c r="O89" s="26" t="str"/>
      <x:c r="P89" s="26" t="str">
        <x:v>NONE</x:v>
      </x:c>
      <x:c r="Q89" s="26" t="str">
        <x:v>EXACT_SCALAR</x:v>
      </x:c>
      <x:c r="R89" s="26" t="n">
        <x:v>1498</x:v>
      </x:c>
      <x:c r="S89" s="26" t="str"/>
      <x:c r="T89" s="26" t="str"/>
      <x:c r="U89" s="26" t="str"/>
      <x:c r="V89" s="26"/>
      <x:c r="W89" s="26"/>
      <x:c r="X89" s="26"/>
      <x:c r="Y89" s="26"/>
      <x:c r="Z89" s="26"/>
    </x:row>
    <x:row r="90">
      <x:c r="A90" s="26" t="str">
        <x:v>FAC-000089</x:v>
      </x:c>
      <x:c r="B90" s="26" t="str">
        <x:v>POWERTRAIN</x:v>
      </x:c>
      <x:c r="C90" s="26" t="str">
        <x:v>PWR-000010</x:v>
      </x:c>
      <x:c r="D90" s="26" t="str">
        <x:v>power_kw</x:v>
      </x:c>
      <x:c r="E90" s="26" t="str">
        <x:v>NUMBER</x:v>
      </x:c>
      <x:c r="F90" s="26" t="n">
        <x:v>134</x:v>
      </x:c>
      <x:c r="G90" s="26" t="str">
        <x:v>kW</x:v>
      </x:c>
      <x:c r="H90" s="26" t="str">
        <x:v>VERIFIED</x:v>
      </x:c>
      <x:c r="I90" s="26" t="str"/>
      <x:c r="J90" s="26" t="n">
        <x:v>2026</x:v>
      </x:c>
      <x:c r="K90" s="26" t="n">
        <x:v>2026</x:v>
      </x:c>
      <x:c r="L90" s="26" t="str">
        <x:v>TR</x:v>
      </x:c>
      <x:c r="M90" s="26" t="str"/>
      <x:c r="N90" s="26" t="str"/>
      <x:c r="O90" s="26" t="str"/>
      <x:c r="P90" s="26" t="str">
        <x:v>NONE</x:v>
      </x:c>
      <x:c r="Q90" s="26" t="str">
        <x:v>EXACT_SCALAR</x:v>
      </x:c>
      <x:c r="R90" s="26" t="n">
        <x:v>134</x:v>
      </x:c>
      <x:c r="S90" s="26" t="str"/>
      <x:c r="T90" s="26" t="str"/>
      <x:c r="U90" s="26" t="str"/>
      <x:c r="V90" s="26"/>
      <x:c r="W90" s="26"/>
      <x:c r="X90" s="26"/>
      <x:c r="Y90" s="26"/>
      <x:c r="Z90" s="26"/>
    </x:row>
    <x:row r="91">
      <x:c r="A91" s="26" t="str">
        <x:v>FAC-000090</x:v>
      </x:c>
      <x:c r="B91" s="26" t="str">
        <x:v>POWERTRAIN</x:v>
      </x:c>
      <x:c r="C91" s="26" t="str">
        <x:v>PWR-000010</x:v>
      </x:c>
      <x:c r="D91" s="26" t="str">
        <x:v>torque_nm</x:v>
      </x:c>
      <x:c r="E91" s="26" t="str">
        <x:v>NUMBER</x:v>
      </x:c>
      <x:c r="F91" s="26" t="n">
        <x:v>240</x:v>
      </x:c>
      <x:c r="G91" s="26" t="str">
        <x:v>Nm</x:v>
      </x:c>
      <x:c r="H91" s="26" t="str">
        <x:v>VERIFIED</x:v>
      </x:c>
      <x:c r="I91" s="26" t="str"/>
      <x:c r="J91" s="26" t="n">
        <x:v>2026</x:v>
      </x:c>
      <x:c r="K91" s="26" t="n">
        <x:v>2026</x:v>
      </x:c>
      <x:c r="L91" s="26" t="str">
        <x:v>TR</x:v>
      </x:c>
      <x:c r="M91" s="26" t="str"/>
      <x:c r="N91" s="26" t="str"/>
      <x:c r="O91" s="26" t="str"/>
      <x:c r="P91" s="26" t="str">
        <x:v>NONE</x:v>
      </x:c>
      <x:c r="Q91" s="26" t="str">
        <x:v>EXACT_SCALAR</x:v>
      </x:c>
      <x:c r="R91" s="26" t="n">
        <x:v>240</x:v>
      </x:c>
      <x:c r="S91" s="26" t="str"/>
      <x:c r="T91" s="26" t="str"/>
      <x:c r="U91" s="26" t="str"/>
      <x:c r="V91" s="26"/>
      <x:c r="W91" s="26"/>
      <x:c r="X91" s="26"/>
      <x:c r="Y91" s="26"/>
      <x:c r="Z91" s="26"/>
    </x:row>
    <x:row r="92">
      <x:c r="A92" s="26" t="str">
        <x:v>FAC-000091</x:v>
      </x:c>
      <x:c r="B92" s="26" t="str">
        <x:v>POWERTRAIN</x:v>
      </x:c>
      <x:c r="C92" s="26" t="str">
        <x:v>PWR-000011</x:v>
      </x:c>
      <x:c r="D92" s="26" t="str">
        <x:v>engine_displacement_cc</x:v>
      </x:c>
      <x:c r="E92" s="26" t="str">
        <x:v>NUMBER</x:v>
      </x:c>
      <x:c r="F92" s="26" t="n">
        <x:v>1332</x:v>
      </x:c>
      <x:c r="G92" s="26" t="str">
        <x:v>cc</x:v>
      </x:c>
      <x:c r="H92" s="26" t="str">
        <x:v>VERIFIED</x:v>
      </x:c>
      <x:c r="I92" s="26" t="str"/>
      <x:c r="J92" s="26" t="n">
        <x:v>2026</x:v>
      </x:c>
      <x:c r="K92" s="26" t="n">
        <x:v>2026</x:v>
      </x:c>
      <x:c r="L92" s="26" t="str">
        <x:v>TR</x:v>
      </x:c>
      <x:c r="M92" s="26" t="str"/>
      <x:c r="N92" s="26" t="str"/>
      <x:c r="O92" s="26" t="str"/>
      <x:c r="P92" s="26" t="str">
        <x:v>NONE</x:v>
      </x:c>
      <x:c r="Q92" s="26" t="str">
        <x:v>EXACT_SCALAR</x:v>
      </x:c>
      <x:c r="R92" s="26" t="n">
        <x:v>1332</x:v>
      </x:c>
      <x:c r="S92" s="26" t="str"/>
      <x:c r="T92" s="26" t="str"/>
      <x:c r="U92" s="26" t="str"/>
      <x:c r="V92" s="26"/>
      <x:c r="W92" s="26"/>
      <x:c r="X92" s="26"/>
      <x:c r="Y92" s="26"/>
      <x:c r="Z92" s="26"/>
    </x:row>
    <x:row r="93">
      <x:c r="A93" s="26" t="str">
        <x:v>FAC-000092</x:v>
      </x:c>
      <x:c r="B93" s="26" t="str">
        <x:v>POWERTRAIN</x:v>
      </x:c>
      <x:c r="C93" s="26" t="str">
        <x:v>PWR-000011</x:v>
      </x:c>
      <x:c r="D93" s="26" t="str">
        <x:v>power_kw</x:v>
      </x:c>
      <x:c r="E93" s="26" t="str">
        <x:v>NUMBER</x:v>
      </x:c>
      <x:c r="F93" s="26" t="n">
        <x:v>116</x:v>
      </x:c>
      <x:c r="G93" s="26" t="str">
        <x:v>kW</x:v>
      </x:c>
      <x:c r="H93" s="26" t="str">
        <x:v>VERIFIED</x:v>
      </x:c>
      <x:c r="I93" s="26" t="str"/>
      <x:c r="J93" s="26" t="n">
        <x:v>2026</x:v>
      </x:c>
      <x:c r="K93" s="26" t="n">
        <x:v>2026</x:v>
      </x:c>
      <x:c r="L93" s="26" t="str">
        <x:v>TR</x:v>
      </x:c>
      <x:c r="M93" s="26" t="str"/>
      <x:c r="N93" s="26" t="str"/>
      <x:c r="O93" s="26" t="str"/>
      <x:c r="P93" s="26" t="str">
        <x:v>NONE</x:v>
      </x:c>
      <x:c r="Q93" s="26" t="str">
        <x:v>EXACT_SCALAR</x:v>
      </x:c>
      <x:c r="R93" s="26" t="n">
        <x:v>116</x:v>
      </x:c>
      <x:c r="S93" s="26" t="str"/>
      <x:c r="T93" s="26" t="str"/>
      <x:c r="U93" s="26" t="str"/>
      <x:c r="V93" s="26"/>
      <x:c r="W93" s="26"/>
      <x:c r="X93" s="26"/>
      <x:c r="Y93" s="26"/>
      <x:c r="Z93" s="26"/>
    </x:row>
    <x:row r="94">
      <x:c r="A94" s="26" t="str">
        <x:v>FAC-000093</x:v>
      </x:c>
      <x:c r="B94" s="26" t="str">
        <x:v>POWERTRAIN</x:v>
      </x:c>
      <x:c r="C94" s="26" t="str">
        <x:v>PWR-000011</x:v>
      </x:c>
      <x:c r="D94" s="26" t="str">
        <x:v>torque_nm</x:v>
      </x:c>
      <x:c r="E94" s="26" t="str">
        <x:v>NUMBER</x:v>
      </x:c>
      <x:c r="F94" s="26" t="n">
        <x:v>270</x:v>
      </x:c>
      <x:c r="G94" s="26" t="str">
        <x:v>Nm</x:v>
      </x:c>
      <x:c r="H94" s="26" t="str">
        <x:v>VERIFIED</x:v>
      </x:c>
      <x:c r="I94" s="26" t="str"/>
      <x:c r="J94" s="26" t="n">
        <x:v>2026</x:v>
      </x:c>
      <x:c r="K94" s="26" t="n">
        <x:v>2026</x:v>
      </x:c>
      <x:c r="L94" s="26" t="str">
        <x:v>TR</x:v>
      </x:c>
      <x:c r="M94" s="26" t="str"/>
      <x:c r="N94" s="26" t="str"/>
      <x:c r="O94" s="26" t="str"/>
      <x:c r="P94" s="26" t="str">
        <x:v>NONE</x:v>
      </x:c>
      <x:c r="Q94" s="26" t="str">
        <x:v>EXACT_SCALAR</x:v>
      </x:c>
      <x:c r="R94" s="26" t="n">
        <x:v>270</x:v>
      </x:c>
      <x:c r="S94" s="26" t="str"/>
      <x:c r="T94" s="26" t="str"/>
      <x:c r="U94" s="26" t="str"/>
      <x:c r="V94" s="26"/>
      <x:c r="W94" s="26"/>
      <x:c r="X94" s="26"/>
      <x:c r="Y94" s="26"/>
      <x:c r="Z94" s="26"/>
    </x:row>
    <x:row r="95">
      <x:c r="A95" s="26" t="str">
        <x:v>FAC-000094</x:v>
      </x:c>
      <x:c r="B95" s="26" t="str">
        <x:v>POWERTRAIN</x:v>
      </x:c>
      <x:c r="C95" s="26" t="str">
        <x:v>PWR-000012</x:v>
      </x:c>
      <x:c r="D95" s="26" t="str">
        <x:v>engine_displacement_cc</x:v>
      </x:c>
      <x:c r="E95" s="26" t="str">
        <x:v>NUMBER</x:v>
      </x:c>
      <x:c r="F95" s="26" t="n">
        <x:v>1497</x:v>
      </x:c>
      <x:c r="G95" s="26" t="str">
        <x:v>cc</x:v>
      </x:c>
      <x:c r="H95" s="26" t="str">
        <x:v>VERIFIED</x:v>
      </x:c>
      <x:c r="I95" s="26" t="str"/>
      <x:c r="J95" s="26" t="n">
        <x:v>2026</x:v>
      </x:c>
      <x:c r="K95" s="26" t="n">
        <x:v>2026</x:v>
      </x:c>
      <x:c r="L95" s="26" t="str">
        <x:v>TR</x:v>
      </x:c>
      <x:c r="M95" s="26" t="str"/>
      <x:c r="N95" s="26" t="str"/>
      <x:c r="O95" s="26" t="str"/>
      <x:c r="P95" s="26" t="str">
        <x:v>NONE</x:v>
      </x:c>
      <x:c r="Q95" s="26" t="str">
        <x:v>EXACT_SCALAR</x:v>
      </x:c>
      <x:c r="R95" s="26" t="n">
        <x:v>1497</x:v>
      </x:c>
      <x:c r="S95" s="26" t="str"/>
      <x:c r="T95" s="26" t="str"/>
      <x:c r="U95" s="26" t="str"/>
      <x:c r="V95" s="26"/>
      <x:c r="W95" s="26"/>
      <x:c r="X95" s="26"/>
      <x:c r="Y95" s="26"/>
      <x:c r="Z95" s="26"/>
    </x:row>
    <x:row r="96">
      <x:c r="A96" s="26" t="str">
        <x:v>FAC-000095</x:v>
      </x:c>
      <x:c r="B96" s="26" t="str">
        <x:v>POWERTRAIN</x:v>
      </x:c>
      <x:c r="C96" s="26" t="str">
        <x:v>PWR-000012</x:v>
      </x:c>
      <x:c r="D96" s="26" t="str">
        <x:v>power_kw</x:v>
      </x:c>
      <x:c r="E96" s="26" t="str">
        <x:v>NUMBER</x:v>
      </x:c>
      <x:c r="F96" s="26" t="n">
        <x:v>140</x:v>
      </x:c>
      <x:c r="G96" s="26" t="str">
        <x:v>kW</x:v>
      </x:c>
      <x:c r="H96" s="26" t="str">
        <x:v>VERIFIED</x:v>
      </x:c>
      <x:c r="I96" s="26" t="str"/>
      <x:c r="J96" s="26" t="n">
        <x:v>2026</x:v>
      </x:c>
      <x:c r="K96" s="26" t="n">
        <x:v>2026</x:v>
      </x:c>
      <x:c r="L96" s="26" t="str">
        <x:v>TR</x:v>
      </x:c>
      <x:c r="M96" s="26" t="str"/>
      <x:c r="N96" s="26" t="str"/>
      <x:c r="O96" s="26" t="str"/>
      <x:c r="P96" s="26" t="str">
        <x:v>NONE</x:v>
      </x:c>
      <x:c r="Q96" s="26" t="str">
        <x:v>EXACT_SCALAR</x:v>
      </x:c>
      <x:c r="R96" s="26" t="n">
        <x:v>140</x:v>
      </x:c>
      <x:c r="S96" s="26" t="str"/>
      <x:c r="T96" s="26" t="str"/>
      <x:c r="U96" s="26" t="str"/>
      <x:c r="V96" s="26"/>
      <x:c r="W96" s="26"/>
      <x:c r="X96" s="26"/>
      <x:c r="Y96" s="26"/>
      <x:c r="Z96" s="26"/>
    </x:row>
    <x:row r="97">
      <x:c r="A97" s="26" t="str">
        <x:v>FAC-000096</x:v>
      </x:c>
      <x:c r="B97" s="26" t="str">
        <x:v>POWERTRAIN</x:v>
      </x:c>
      <x:c r="C97" s="26" t="str">
        <x:v>PWR-000012</x:v>
      </x:c>
      <x:c r="D97" s="26" t="str">
        <x:v>torque_nm</x:v>
      </x:c>
      <x:c r="E97" s="26" t="str">
        <x:v>NUMBER</x:v>
      </x:c>
      <x:c r="F97" s="26" t="n">
        <x:v>330</x:v>
      </x:c>
      <x:c r="G97" s="26" t="str">
        <x:v>Nm</x:v>
      </x:c>
      <x:c r="H97" s="26" t="str">
        <x:v>VERIFIED</x:v>
      </x:c>
      <x:c r="I97" s="26" t="str"/>
      <x:c r="J97" s="26" t="n">
        <x:v>2026</x:v>
      </x:c>
      <x:c r="K97" s="26" t="n">
        <x:v>2026</x:v>
      </x:c>
      <x:c r="L97" s="26" t="str">
        <x:v>TR</x:v>
      </x:c>
      <x:c r="M97" s="26" t="str"/>
      <x:c r="N97" s="26" t="str"/>
      <x:c r="O97" s="26" t="str"/>
      <x:c r="P97" s="26" t="str">
        <x:v>NONE</x:v>
      </x:c>
      <x:c r="Q97" s="26" t="str">
        <x:v>EXACT_SCALAR</x:v>
      </x:c>
      <x:c r="R97" s="26" t="n">
        <x:v>330</x:v>
      </x:c>
      <x:c r="S97" s="26" t="str"/>
      <x:c r="T97" s="26" t="str"/>
      <x:c r="U97" s="26" t="str"/>
      <x:c r="V97" s="26"/>
      <x:c r="W97" s="26"/>
      <x:c r="X97" s="26"/>
      <x:c r="Y97" s="26"/>
      <x:c r="Z97" s="26"/>
    </x:row>
    <x:row r="98">
      <x:c r="A98" s="26" t="str">
        <x:v>FAC-000097</x:v>
      </x:c>
      <x:c r="B98" s="26" t="str">
        <x:v>GENERATION</x:v>
      </x:c>
      <x:c r="C98" s="26" t="str">
        <x:v>GEN-000011</x:v>
      </x:c>
      <x:c r="D98" s="26" t="str">
        <x:v>length_mm</x:v>
      </x:c>
      <x:c r="E98" s="26" t="str">
        <x:v>NUMBER</x:v>
      </x:c>
      <x:c r="F98" s="26" t="n">
        <x:v>4425</x:v>
      </x:c>
      <x:c r="G98" s="26" t="str">
        <x:v>mm</x:v>
      </x:c>
      <x:c r="H98" s="26" t="str">
        <x:v>VERIFIED</x:v>
      </x:c>
      <x:c r="I98" s="26" t="str"/>
      <x:c r="J98" s="26" t="n">
        <x:v>2026</x:v>
      </x:c>
      <x:c r="K98" s="26" t="n">
        <x:v>2026</x:v>
      </x:c>
      <x:c r="L98" s="26" t="str">
        <x:v>TR</x:v>
      </x:c>
      <x:c r="M98" s="26" t="str"/>
      <x:c r="N98" s="26" t="str"/>
      <x:c r="O98" s="26" t="str"/>
      <x:c r="P98" s="26" t="str">
        <x:v>NONE</x:v>
      </x:c>
      <x:c r="Q98" s="26" t="str">
        <x:v>EXACT_SCALAR</x:v>
      </x:c>
      <x:c r="R98" s="26" t="n">
        <x:v>4425</x:v>
      </x:c>
      <x:c r="S98" s="26" t="str"/>
      <x:c r="T98" s="26" t="str"/>
      <x:c r="U98" s="26" t="str"/>
      <x:c r="V98" s="26"/>
      <x:c r="W98" s="26"/>
      <x:c r="X98" s="26"/>
      <x:c r="Y98" s="26"/>
      <x:c r="Z98" s="26"/>
    </x:row>
    <x:row r="99">
      <x:c r="A99" s="26" t="str">
        <x:v>FAC-000098</x:v>
      </x:c>
      <x:c r="B99" s="26" t="str">
        <x:v>GENERATION</x:v>
      </x:c>
      <x:c r="C99" s="26" t="str">
        <x:v>GEN-000011</x:v>
      </x:c>
      <x:c r="D99" s="26" t="str">
        <x:v>width_mm</x:v>
      </x:c>
      <x:c r="E99" s="26" t="str">
        <x:v>NUMBER</x:v>
      </x:c>
      <x:c r="F99" s="26" t="n">
        <x:v>1835</x:v>
      </x:c>
      <x:c r="G99" s="26" t="str">
        <x:v>mm</x:v>
      </x:c>
      <x:c r="H99" s="26" t="str">
        <x:v>VERIFIED</x:v>
      </x:c>
      <x:c r="I99" s="26" t="str">
        <x:v>mirrors excluded</x:v>
      </x:c>
      <x:c r="J99" s="26" t="n">
        <x:v>2026</x:v>
      </x:c>
      <x:c r="K99" s="26" t="n">
        <x:v>2026</x:v>
      </x:c>
      <x:c r="L99" s="26" t="str">
        <x:v>TR</x:v>
      </x:c>
      <x:c r="M99" s="26" t="str"/>
      <x:c r="N99" s="26" t="str"/>
      <x:c r="O99" s="26" t="str"/>
      <x:c r="P99" s="26" t="str">
        <x:v>NONE</x:v>
      </x:c>
      <x:c r="Q99" s="26" t="str">
        <x:v>EXACT_SCALAR</x:v>
      </x:c>
      <x:c r="R99" s="26" t="n">
        <x:v>1835</x:v>
      </x:c>
      <x:c r="S99" s="26" t="str"/>
      <x:c r="T99" s="26" t="str"/>
      <x:c r="U99" s="26" t="str"/>
      <x:c r="V99" s="26"/>
      <x:c r="W99" s="26"/>
      <x:c r="X99" s="26"/>
      <x:c r="Y99" s="26"/>
      <x:c r="Z99" s="26"/>
    </x:row>
    <x:row r="100">
      <x:c r="A100" s="26" t="str">
        <x:v>FAC-000099</x:v>
      </x:c>
      <x:c r="B100" s="26" t="str">
        <x:v>GENERATION</x:v>
      </x:c>
      <x:c r="C100" s="26" t="str">
        <x:v>GEN-000011</x:v>
      </x:c>
      <x:c r="D100" s="26" t="str">
        <x:v>height_mm</x:v>
      </x:c>
      <x:c r="E100" s="26" t="str">
        <x:v>NUMBER</x:v>
      </x:c>
      <x:c r="F100" s="26" t="n">
        <x:v>1625</x:v>
      </x:c>
      <x:c r="G100" s="26" t="str">
        <x:v>mm</x:v>
      </x:c>
      <x:c r="H100" s="26" t="str">
        <x:v>VERIFIED</x:v>
      </x:c>
      <x:c r="I100" s="26" t="str"/>
      <x:c r="J100" s="26" t="n">
        <x:v>2026</x:v>
      </x:c>
      <x:c r="K100" s="26" t="n">
        <x:v>2026</x:v>
      </x:c>
      <x:c r="L100" s="26" t="str">
        <x:v>TR</x:v>
      </x:c>
      <x:c r="M100" s="26" t="str"/>
      <x:c r="N100" s="26" t="str"/>
      <x:c r="O100" s="26" t="str"/>
      <x:c r="P100" s="26" t="str">
        <x:v>NONE</x:v>
      </x:c>
      <x:c r="Q100" s="26" t="str">
        <x:v>EXACT_SCALAR</x:v>
      </x:c>
      <x:c r="R100" s="26" t="n">
        <x:v>1625</x:v>
      </x:c>
      <x:c r="S100" s="26" t="str"/>
      <x:c r="T100" s="26" t="str"/>
      <x:c r="U100" s="26" t="str"/>
      <x:c r="V100" s="26"/>
      <x:c r="W100" s="26"/>
      <x:c r="X100" s="26"/>
      <x:c r="Y100" s="26"/>
      <x:c r="Z100" s="26"/>
    </x:row>
    <x:row r="101">
      <x:c r="A101" s="26" t="str">
        <x:v>FAC-000100</x:v>
      </x:c>
      <x:c r="B101" s="26" t="str">
        <x:v>GENERATION</x:v>
      </x:c>
      <x:c r="C101" s="26" t="str">
        <x:v>GEN-000011</x:v>
      </x:c>
      <x:c r="D101" s="26" t="str">
        <x:v>wheelbase_mm</x:v>
      </x:c>
      <x:c r="E101" s="26" t="str">
        <x:v>NUMBER</x:v>
      </x:c>
      <x:c r="F101" s="26" t="n">
        <x:v>2665</x:v>
      </x:c>
      <x:c r="G101" s="26" t="str">
        <x:v>mm</x:v>
      </x:c>
      <x:c r="H101" s="26" t="str">
        <x:v>VERIFIED</x:v>
      </x:c>
      <x:c r="I101" s="26" t="str"/>
      <x:c r="J101" s="26" t="n">
        <x:v>2026</x:v>
      </x:c>
      <x:c r="K101" s="26" t="n">
        <x:v>2026</x:v>
      </x:c>
      <x:c r="L101" s="26" t="str">
        <x:v>TR</x:v>
      </x:c>
      <x:c r="M101" s="26" t="str"/>
      <x:c r="N101" s="26" t="str"/>
      <x:c r="O101" s="26" t="str"/>
      <x:c r="P101" s="26" t="str">
        <x:v>NONE</x:v>
      </x:c>
      <x:c r="Q101" s="26" t="str">
        <x:v>EXACT_SCALAR</x:v>
      </x:c>
      <x:c r="R101" s="26" t="n">
        <x:v>2665</x:v>
      </x:c>
      <x:c r="S101" s="26" t="str"/>
      <x:c r="T101" s="26" t="str"/>
      <x:c r="U101" s="26" t="str"/>
      <x:c r="V101" s="26"/>
      <x:c r="W101" s="26"/>
      <x:c r="X101" s="26"/>
      <x:c r="Y101" s="26"/>
      <x:c r="Z101" s="26"/>
    </x:row>
    <x:row r="102">
      <x:c r="A102" s="26" t="str">
        <x:v>FAC-000101</x:v>
      </x:c>
      <x:c r="B102" s="26" t="str">
        <x:v>POWERTRAIN</x:v>
      </x:c>
      <x:c r="C102" s="26" t="str">
        <x:v>PWR-000011</x:v>
      </x:c>
      <x:c r="D102" s="26" t="str">
        <x:v>official_fuel_consumption_combined</x:v>
      </x:c>
      <x:c r="E102" s="26" t="str">
        <x:v>NUMBER</x:v>
      </x:c>
      <x:c r="F102" s="26" t="str"/>
      <x:c r="G102" s="26" t="str">
        <x:v>L/100km</x:v>
      </x:c>
      <x:c r="H102" s="26" t="str">
        <x:v>VERIFIED</x:v>
      </x:c>
      <x:c r="I102" s="26" t="str"/>
      <x:c r="J102" s="26" t="n">
        <x:v>2026</x:v>
      </x:c>
      <x:c r="K102" s="26" t="n">
        <x:v>2026</x:v>
      </x:c>
      <x:c r="L102" s="26" t="str">
        <x:v>TR</x:v>
      </x:c>
      <x:c r="M102" s="26" t="str"/>
      <x:c r="N102" s="26" t="n">
        <x:v>6.4</x:v>
      </x:c>
      <x:c r="O102" s="26" t="n">
        <x:v>7</x:v>
      </x:c>
      <x:c r="P102" s="26" t="str">
        <x:v>MIN_MAX</x:v>
      </x:c>
      <x:c r="Q102" s="26" t="str">
        <x:v>EXACT_RANGE</x:v>
      </x:c>
      <x:c r="R102" s="26" t="str">
        <x:v>6.4-7.0</x:v>
      </x:c>
      <x:c r="S102" s="26" t="str"/>
      <x:c r="T102" s="26" t="str"/>
      <x:c r="U102" s="26" t="str"/>
      <x:c r="V102" s="26"/>
      <x:c r="W102" s="26"/>
      <x:c r="X102" s="26"/>
      <x:c r="Y102" s="26"/>
      <x:c r="Z102" s="26"/>
    </x:row>
    <x:row r="103">
      <x:c r="A103" s="26" t="str">
        <x:v>FAC-000102</x:v>
      </x:c>
      <x:c r="B103" s="26" t="str">
        <x:v>POWERTRAIN</x:v>
      </x:c>
      <x:c r="C103" s="26" t="str">
        <x:v>PWR-000012</x:v>
      </x:c>
      <x:c r="D103" s="26" t="str">
        <x:v>official_fuel_consumption_combined</x:v>
      </x:c>
      <x:c r="E103" s="26" t="str">
        <x:v>NUMBER</x:v>
      </x:c>
      <x:c r="F103" s="26" t="n">
        <x:v>4.7</x:v>
      </x:c>
      <x:c r="G103" s="26" t="str">
        <x:v>L/100km</x:v>
      </x:c>
      <x:c r="H103" s="26" t="str">
        <x:v>VERIFIED</x:v>
      </x:c>
      <x:c r="I103" s="26" t="str"/>
      <x:c r="J103" s="26" t="n">
        <x:v>2026</x:v>
      </x:c>
      <x:c r="K103" s="26" t="n">
        <x:v>2026</x:v>
      </x:c>
      <x:c r="L103" s="26" t="str">
        <x:v>TR</x:v>
      </x:c>
      <x:c r="M103" s="26" t="str"/>
      <x:c r="N103" s="26" t="str"/>
      <x:c r="O103" s="26" t="str"/>
      <x:c r="P103" s="26" t="str">
        <x:v>NONE</x:v>
      </x:c>
      <x:c r="Q103" s="26" t="str">
        <x:v>EXACT_SCALAR</x:v>
      </x:c>
      <x:c r="R103" s="26" t="n">
        <x:v>4.7</x:v>
      </x:c>
      <x:c r="S103" s="26" t="str"/>
      <x:c r="T103" s="26" t="str"/>
      <x:c r="U103" s="26" t="str"/>
      <x:c r="V103" s="26"/>
      <x:c r="W103" s="26"/>
      <x:c r="X103" s="26"/>
      <x:c r="Y103" s="26"/>
      <x:c r="Z103" s="26"/>
    </x:row>
    <x:row r="104">
      <x:c r="A104" s="26" t="str">
        <x:v>FAC-000103</x:v>
      </x:c>
      <x:c r="B104" s="26" t="str">
        <x:v>POWERTRAIN</x:v>
      </x:c>
      <x:c r="C104" s="26" t="str">
        <x:v>PWR-000013</x:v>
      </x:c>
      <x:c r="D104" s="26" t="str">
        <x:v>engine_displacement_cc</x:v>
      </x:c>
      <x:c r="E104" s="26" t="str">
        <x:v>NUMBER</x:v>
      </x:c>
      <x:c r="F104" s="26" t="n">
        <x:v>1498</x:v>
      </x:c>
      <x:c r="G104" s="26" t="str">
        <x:v>cc</x:v>
      </x:c>
      <x:c r="H104" s="26" t="str">
        <x:v>VERIFIED</x:v>
      </x:c>
      <x:c r="I104" s="26" t="str"/>
      <x:c r="J104" s="26" t="n">
        <x:v>2026</x:v>
      </x:c>
      <x:c r="K104" s="26" t="n">
        <x:v>2026</x:v>
      </x:c>
      <x:c r="L104" s="26" t="str">
        <x:v>TR</x:v>
      </x:c>
      <x:c r="M104" s="26" t="str"/>
      <x:c r="N104" s="26" t="str"/>
      <x:c r="O104" s="26" t="str"/>
      <x:c r="P104" s="26" t="str">
        <x:v>NONE</x:v>
      </x:c>
      <x:c r="Q104" s="26" t="str">
        <x:v>EXACT_SCALAR</x:v>
      </x:c>
      <x:c r="R104" s="26" t="n">
        <x:v>1498</x:v>
      </x:c>
      <x:c r="S104" s="26" t="str"/>
      <x:c r="T104" s="26" t="str"/>
      <x:c r="U104" s="26" t="str"/>
      <x:c r="V104" s="26"/>
      <x:c r="W104" s="26"/>
      <x:c r="X104" s="26"/>
      <x:c r="Y104" s="26"/>
      <x:c r="Z104" s="26"/>
    </x:row>
    <x:row r="105">
      <x:c r="A105" s="26" t="str">
        <x:v>FAC-000104</x:v>
      </x:c>
      <x:c r="B105" s="26" t="str">
        <x:v>POWERTRAIN</x:v>
      </x:c>
      <x:c r="C105" s="26" t="str">
        <x:v>PWR-000013</x:v>
      </x:c>
      <x:c r="D105" s="26" t="str">
        <x:v>power_kw</x:v>
      </x:c>
      <x:c r="E105" s="26" t="str">
        <x:v>NUMBER</x:v>
      </x:c>
      <x:c r="F105" s="26" t="n">
        <x:v>110</x:v>
      </x:c>
      <x:c r="G105" s="26" t="str">
        <x:v>kW</x:v>
      </x:c>
      <x:c r="H105" s="26" t="str">
        <x:v>VERIFIED</x:v>
      </x:c>
      <x:c r="I105" s="26" t="str"/>
      <x:c r="J105" s="26" t="n">
        <x:v>2026</x:v>
      </x:c>
      <x:c r="K105" s="26" t="n">
        <x:v>2026</x:v>
      </x:c>
      <x:c r="L105" s="26" t="str">
        <x:v>TR</x:v>
      </x:c>
      <x:c r="M105" s="26" t="str"/>
      <x:c r="N105" s="26" t="str"/>
      <x:c r="O105" s="26" t="str"/>
      <x:c r="P105" s="26" t="str">
        <x:v>NONE</x:v>
      </x:c>
      <x:c r="Q105" s="26" t="str">
        <x:v>EXACT_SCALAR</x:v>
      </x:c>
      <x:c r="R105" s="26" t="n">
        <x:v>110</x:v>
      </x:c>
      <x:c r="S105" s="26" t="str"/>
      <x:c r="T105" s="26" t="str"/>
      <x:c r="U105" s="26" t="str"/>
      <x:c r="V105" s="26"/>
      <x:c r="W105" s="26"/>
      <x:c r="X105" s="26"/>
      <x:c r="Y105" s="26"/>
      <x:c r="Z105" s="26"/>
    </x:row>
    <x:row r="106">
      <x:c r="A106" s="26" t="str">
        <x:v>FAC-000105</x:v>
      </x:c>
      <x:c r="B106" s="26" t="str">
        <x:v>POWERTRAIN</x:v>
      </x:c>
      <x:c r="C106" s="26" t="str">
        <x:v>PWR-000013</x:v>
      </x:c>
      <x:c r="D106" s="26" t="str">
        <x:v>torque_nm</x:v>
      </x:c>
      <x:c r="E106" s="26" t="str">
        <x:v>NUMBER</x:v>
      </x:c>
      <x:c r="F106" s="26" t="n">
        <x:v>250</x:v>
      </x:c>
      <x:c r="G106" s="26" t="str">
        <x:v>Nm</x:v>
      </x:c>
      <x:c r="H106" s="26" t="str">
        <x:v>VERIFIED</x:v>
      </x:c>
      <x:c r="I106" s="26" t="str"/>
      <x:c r="J106" s="26" t="n">
        <x:v>2026</x:v>
      </x:c>
      <x:c r="K106" s="26" t="n">
        <x:v>2026</x:v>
      </x:c>
      <x:c r="L106" s="26" t="str">
        <x:v>TR</x:v>
      </x:c>
      <x:c r="M106" s="26" t="str"/>
      <x:c r="N106" s="26" t="str"/>
      <x:c r="O106" s="26" t="str"/>
      <x:c r="P106" s="26" t="str">
        <x:v>NONE</x:v>
      </x:c>
      <x:c r="Q106" s="26" t="str">
        <x:v>EXACT_SCALAR</x:v>
      </x:c>
      <x:c r="R106" s="26" t="n">
        <x:v>250</x:v>
      </x:c>
      <x:c r="S106" s="26" t="str"/>
      <x:c r="T106" s="26" t="str"/>
      <x:c r="U106" s="26" t="str"/>
      <x:c r="V106" s="26"/>
      <x:c r="W106" s="26"/>
      <x:c r="X106" s="26"/>
      <x:c r="Y106" s="26"/>
      <x:c r="Z106" s="26"/>
    </x:row>
    <x:row r="107">
      <x:c r="A107" s="26" t="str">
        <x:v>FAC-000106</x:v>
      </x:c>
      <x:c r="B107" s="26" t="str">
        <x:v>POWERTRAIN</x:v>
      </x:c>
      <x:c r="C107" s="26" t="str">
        <x:v>PWR-000013</x:v>
      </x:c>
      <x:c r="D107" s="26" t="str">
        <x:v>official_fuel_consumption_combined</x:v>
      </x:c>
      <x:c r="E107" s="26" t="str">
        <x:v>NUMBER</x:v>
      </x:c>
      <x:c r="F107" s="26" t="str"/>
      <x:c r="G107" s="26" t="str">
        <x:v>L/100km</x:v>
      </x:c>
      <x:c r="H107" s="26" t="str">
        <x:v>VERIFIED</x:v>
      </x:c>
      <x:c r="I107" s="26" t="str"/>
      <x:c r="J107" s="26" t="n">
        <x:v>2026</x:v>
      </x:c>
      <x:c r="K107" s="26" t="n">
        <x:v>2026</x:v>
      </x:c>
      <x:c r="L107" s="26" t="str">
        <x:v>TR</x:v>
      </x:c>
      <x:c r="M107" s="26" t="str"/>
      <x:c r="N107" s="26" t="n">
        <x:v>4.9</x:v>
      </x:c>
      <x:c r="O107" s="26" t="n">
        <x:v>5.2</x:v>
      </x:c>
      <x:c r="P107" s="26" t="str">
        <x:v>MIN_MAX</x:v>
      </x:c>
      <x:c r="Q107" s="26" t="str">
        <x:v>EXACT_RANGE</x:v>
      </x:c>
      <x:c r="R107" s="26" t="str">
        <x:v>4.9-5.2</x:v>
      </x:c>
      <x:c r="S107" s="26" t="str"/>
      <x:c r="T107" s="26" t="str"/>
      <x:c r="U107" s="26" t="str"/>
      <x:c r="V107" s="26"/>
      <x:c r="W107" s="26"/>
      <x:c r="X107" s="26"/>
      <x:c r="Y107" s="26"/>
      <x:c r="Z107" s="26"/>
    </x:row>
    <x:row r="108">
      <x:c r="A108" s="26" t="str">
        <x:v>FAC-000107</x:v>
      </x:c>
      <x:c r="B108" s="26" t="str">
        <x:v>POWERTRAIN</x:v>
      </x:c>
      <x:c r="C108" s="26" t="str">
        <x:v>PWR-000015</x:v>
      </x:c>
      <x:c r="D108" s="26" t="str">
        <x:v>official_fuel_consumption_combined</x:v>
      </x:c>
      <x:c r="E108" s="26" t="str">
        <x:v>NUMBER</x:v>
      </x:c>
      <x:c r="F108" s="26" t="n">
        <x:v>6.4</x:v>
      </x:c>
      <x:c r="G108" s="26" t="str">
        <x:v>L/100km</x:v>
      </x:c>
      <x:c r="H108" s="26" t="str">
        <x:v>VERIFIED</x:v>
      </x:c>
      <x:c r="I108" s="26" t="str"/>
      <x:c r="J108" s="26" t="n">
        <x:v>2026</x:v>
      </x:c>
      <x:c r="K108" s="26" t="n">
        <x:v>2026</x:v>
      </x:c>
      <x:c r="L108" s="26" t="str">
        <x:v>TR</x:v>
      </x:c>
      <x:c r="M108" s="26" t="str"/>
      <x:c r="N108" s="26" t="str"/>
      <x:c r="O108" s="26" t="str"/>
      <x:c r="P108" s="26" t="str">
        <x:v>NONE</x:v>
      </x:c>
      <x:c r="Q108" s="26" t="str">
        <x:v>EXACT_SCALAR</x:v>
      </x:c>
      <x:c r="R108" s="26" t="n">
        <x:v>6.4</x:v>
      </x:c>
      <x:c r="S108" s="26" t="str"/>
      <x:c r="T108" s="26" t="str"/>
      <x:c r="U108" s="26" t="str"/>
      <x:c r="V108" s="26"/>
      <x:c r="W108" s="26"/>
      <x:c r="X108" s="26"/>
      <x:c r="Y108" s="26"/>
      <x:c r="Z108" s="26"/>
    </x:row>
    <x:row r="109">
      <x:c r="A109" s="26" t="str">
        <x:v>FAC-000108</x:v>
      </x:c>
      <x:c r="B109" s="26" t="str">
        <x:v>POWERTRAIN</x:v>
      </x:c>
      <x:c r="C109" s="26" t="str">
        <x:v>PWR-000016</x:v>
      </x:c>
      <x:c r="D109" s="26" t="str">
        <x:v>engine_displacement_cc</x:v>
      </x:c>
      <x:c r="E109" s="26" t="str">
        <x:v>NUMBER</x:v>
      </x:c>
      <x:c r="F109" s="26" t="n">
        <x:v>1798</x:v>
      </x:c>
      <x:c r="G109" s="26" t="str">
        <x:v>cc</x:v>
      </x:c>
      <x:c r="H109" s="26" t="str">
        <x:v>VERIFIED</x:v>
      </x:c>
      <x:c r="I109" s="26" t="str"/>
      <x:c r="J109" s="26" t="n">
        <x:v>2026</x:v>
      </x:c>
      <x:c r="K109" s="26" t="n">
        <x:v>2026</x:v>
      </x:c>
      <x:c r="L109" s="26" t="str">
        <x:v>TR</x:v>
      </x:c>
      <x:c r="M109" s="26" t="str"/>
      <x:c r="N109" s="26" t="str"/>
      <x:c r="O109" s="26" t="str"/>
      <x:c r="P109" s="26" t="str">
        <x:v>NONE</x:v>
      </x:c>
      <x:c r="Q109" s="26" t="str">
        <x:v>EXACT_SCALAR</x:v>
      </x:c>
      <x:c r="R109" s="26" t="n">
        <x:v>1798</x:v>
      </x:c>
      <x:c r="S109" s="26" t="str"/>
      <x:c r="T109" s="26" t="str"/>
      <x:c r="U109" s="26" t="str"/>
      <x:c r="V109" s="26"/>
      <x:c r="W109" s="26"/>
      <x:c r="X109" s="26"/>
      <x:c r="Y109" s="26"/>
      <x:c r="Z109" s="26"/>
    </x:row>
    <x:row r="110">
      <x:c r="A110" s="26" t="str">
        <x:v>FAC-000109</x:v>
      </x:c>
      <x:c r="B110" s="26" t="str">
        <x:v>POWERTRAIN</x:v>
      </x:c>
      <x:c r="C110" s="26" t="str">
        <x:v>PWR-000016</x:v>
      </x:c>
      <x:c r="D110" s="26" t="str">
        <x:v>power_kw</x:v>
      </x:c>
      <x:c r="E110" s="26" t="str">
        <x:v>NUMBER</x:v>
      </x:c>
      <x:c r="F110" s="26" t="n">
        <x:v>103</x:v>
      </x:c>
      <x:c r="G110" s="26" t="str">
        <x:v>kW</x:v>
      </x:c>
      <x:c r="H110" s="26" t="str">
        <x:v>VERIFIED</x:v>
      </x:c>
      <x:c r="I110" s="26" t="str"/>
      <x:c r="J110" s="26" t="n">
        <x:v>2026</x:v>
      </x:c>
      <x:c r="K110" s="26" t="n">
        <x:v>2026</x:v>
      </x:c>
      <x:c r="L110" s="26" t="str">
        <x:v>TR</x:v>
      </x:c>
      <x:c r="M110" s="26" t="str"/>
      <x:c r="N110" s="26" t="str"/>
      <x:c r="O110" s="26" t="str"/>
      <x:c r="P110" s="26" t="str">
        <x:v>NONE</x:v>
      </x:c>
      <x:c r="Q110" s="26" t="str">
        <x:v>EXACT_SCALAR</x:v>
      </x:c>
      <x:c r="R110" s="26" t="n">
        <x:v>103</x:v>
      </x:c>
      <x:c r="S110" s="26" t="str"/>
      <x:c r="T110" s="26" t="str"/>
      <x:c r="U110" s="26" t="str"/>
      <x:c r="V110" s="26"/>
      <x:c r="W110" s="26"/>
      <x:c r="X110" s="26"/>
      <x:c r="Y110" s="26"/>
      <x:c r="Z110" s="26"/>
    </x:row>
    <x:row r="111">
      <x:c r="A111" s="26" t="str">
        <x:v>FAC-000110</x:v>
      </x:c>
      <x:c r="B111" s="26" t="str">
        <x:v>POWERTRAIN</x:v>
      </x:c>
      <x:c r="C111" s="26" t="str">
        <x:v>PWR-000016</x:v>
      </x:c>
      <x:c r="D111" s="26" t="str">
        <x:v>torque_nm</x:v>
      </x:c>
      <x:c r="E111" s="26" t="str">
        <x:v>NUMBER</x:v>
      </x:c>
      <x:c r="F111" s="26" t="n">
        <x:v>142</x:v>
      </x:c>
      <x:c r="G111" s="26" t="str">
        <x:v>Nm</x:v>
      </x:c>
      <x:c r="H111" s="26" t="str">
        <x:v>VERIFIED</x:v>
      </x:c>
      <x:c r="I111" s="26" t="str"/>
      <x:c r="J111" s="26" t="n">
        <x:v>2026</x:v>
      </x:c>
      <x:c r="K111" s="26" t="n">
        <x:v>2026</x:v>
      </x:c>
      <x:c r="L111" s="26" t="str">
        <x:v>TR</x:v>
      </x:c>
      <x:c r="M111" s="26" t="str"/>
      <x:c r="N111" s="26" t="str"/>
      <x:c r="O111" s="26" t="str"/>
      <x:c r="P111" s="26" t="str">
        <x:v>NONE</x:v>
      </x:c>
      <x:c r="Q111" s="26" t="str">
        <x:v>EXACT_SCALAR</x:v>
      </x:c>
      <x:c r="R111" s="26" t="n">
        <x:v>142</x:v>
      </x:c>
      <x:c r="S111" s="26" t="str"/>
      <x:c r="T111" s="26" t="str"/>
      <x:c r="U111" s="26" t="str"/>
      <x:c r="V111" s="26"/>
      <x:c r="W111" s="26"/>
      <x:c r="X111" s="26"/>
      <x:c r="Y111" s="26"/>
      <x:c r="Z111" s="26"/>
    </x:row>
    <x:row r="112">
      <x:c r="A112" s="26" t="str">
        <x:v>FAC-000111</x:v>
      </x:c>
      <x:c r="B112" s="26" t="str">
        <x:v>GENERATION</x:v>
      </x:c>
      <x:c r="C112" s="26" t="str">
        <x:v>GEN-000015</x:v>
      </x:c>
      <x:c r="D112" s="26" t="str">
        <x:v>length_mm</x:v>
      </x:c>
      <x:c r="E112" s="26" t="str">
        <x:v>NUMBER</x:v>
      </x:c>
      <x:c r="F112" s="26" t="n">
        <x:v>4362</x:v>
      </x:c>
      <x:c r="G112" s="26" t="str">
        <x:v>mm</x:v>
      </x:c>
      <x:c r="H112" s="26" t="str">
        <x:v>VERIFIED</x:v>
      </x:c>
      <x:c r="I112" s="26" t="str"/>
      <x:c r="J112" s="26" t="n">
        <x:v>2026</x:v>
      </x:c>
      <x:c r="K112" s="26" t="n">
        <x:v>2026</x:v>
      </x:c>
      <x:c r="L112" s="26" t="str">
        <x:v>TR</x:v>
      </x:c>
      <x:c r="M112" s="26" t="str"/>
      <x:c r="N112" s="26" t="str"/>
      <x:c r="O112" s="26" t="str"/>
      <x:c r="P112" s="26" t="str">
        <x:v>NONE</x:v>
      </x:c>
      <x:c r="Q112" s="26" t="str">
        <x:v>EXACT_SCALAR</x:v>
      </x:c>
      <x:c r="R112" s="26" t="n">
        <x:v>4362</x:v>
      </x:c>
      <x:c r="S112" s="26" t="str"/>
      <x:c r="T112" s="26" t="str"/>
      <x:c r="U112" s="26" t="str"/>
      <x:c r="V112" s="26"/>
      <x:c r="W112" s="26"/>
      <x:c r="X112" s="26"/>
      <x:c r="Y112" s="26"/>
      <x:c r="Z112" s="26"/>
    </x:row>
    <x:row r="113">
      <x:c r="A113" s="26" t="str">
        <x:v>FAC-000112</x:v>
      </x:c>
      <x:c r="B113" s="26" t="str">
        <x:v>GENERATION</x:v>
      </x:c>
      <x:c r="C113" s="26" t="str">
        <x:v>GEN-000015</x:v>
      </x:c>
      <x:c r="D113" s="26" t="str">
        <x:v>width_mm</x:v>
      </x:c>
      <x:c r="E113" s="26" t="str">
        <x:v>NUMBER</x:v>
      </x:c>
      <x:c r="F113" s="26" t="n">
        <x:v>1832</x:v>
      </x:c>
      <x:c r="G113" s="26" t="str">
        <x:v>mm</x:v>
      </x:c>
      <x:c r="H113" s="26" t="str">
        <x:v>VERIFIED</x:v>
      </x:c>
      <x:c r="I113" s="26" t="str"/>
      <x:c r="J113" s="26" t="n">
        <x:v>2026</x:v>
      </x:c>
      <x:c r="K113" s="26" t="n">
        <x:v>2026</x:v>
      </x:c>
      <x:c r="L113" s="26" t="str">
        <x:v>TR</x:v>
      </x:c>
      <x:c r="M113" s="26" t="str"/>
      <x:c r="N113" s="26" t="str"/>
      <x:c r="O113" s="26" t="str"/>
      <x:c r="P113" s="26" t="str">
        <x:v>NONE</x:v>
      </x:c>
      <x:c r="Q113" s="26" t="str">
        <x:v>EXACT_SCALAR</x:v>
      </x:c>
      <x:c r="R113" s="26" t="n">
        <x:v>1832</x:v>
      </x:c>
      <x:c r="S113" s="26" t="str"/>
      <x:c r="T113" s="26" t="str"/>
      <x:c r="U113" s="26" t="str"/>
      <x:c r="V113" s="26"/>
      <x:c r="W113" s="26"/>
      <x:c r="X113" s="26"/>
      <x:c r="Y113" s="26"/>
      <x:c r="Z113" s="26"/>
    </x:row>
    <x:row r="114">
      <x:c r="A114" s="26" t="str">
        <x:v>FAC-000113</x:v>
      </x:c>
      <x:c r="B114" s="26" t="str">
        <x:v>GENERATION</x:v>
      </x:c>
      <x:c r="C114" s="26" t="str">
        <x:v>GEN-000015</x:v>
      </x:c>
      <x:c r="D114" s="26" t="str">
        <x:v>height_mm</x:v>
      </x:c>
      <x:c r="E114" s="26" t="str">
        <x:v>NUMBER</x:v>
      </x:c>
      <x:c r="F114" s="26" t="n">
        <x:v>1558</x:v>
      </x:c>
      <x:c r="G114" s="26" t="str">
        <x:v>mm</x:v>
      </x:c>
      <x:c r="H114" s="26" t="str">
        <x:v>VERIFIED</x:v>
      </x:c>
      <x:c r="I114" s="26" t="str"/>
      <x:c r="J114" s="26" t="n">
        <x:v>2026</x:v>
      </x:c>
      <x:c r="K114" s="26" t="n">
        <x:v>2026</x:v>
      </x:c>
      <x:c r="L114" s="26" t="str">
        <x:v>TR</x:v>
      </x:c>
      <x:c r="M114" s="26" t="str"/>
      <x:c r="N114" s="26" t="str"/>
      <x:c r="O114" s="26" t="str"/>
      <x:c r="P114" s="26" t="str">
        <x:v>NONE</x:v>
      </x:c>
      <x:c r="Q114" s="26" t="str">
        <x:v>EXACT_SCALAR</x:v>
      </x:c>
      <x:c r="R114" s="26" t="n">
        <x:v>1558</x:v>
      </x:c>
      <x:c r="S114" s="26" t="str"/>
      <x:c r="T114" s="26" t="str"/>
      <x:c r="U114" s="26" t="str"/>
      <x:c r="V114" s="26"/>
      <x:c r="W114" s="26"/>
      <x:c r="X114" s="26"/>
      <x:c r="Y114" s="26"/>
      <x:c r="Z114" s="26"/>
    </x:row>
    <x:row r="115">
      <x:c r="A115" s="26" t="str">
        <x:v>FAC-000114</x:v>
      </x:c>
      <x:c r="B115" s="26" t="str">
        <x:v>GENERATION</x:v>
      </x:c>
      <x:c r="C115" s="26" t="str">
        <x:v>GEN-000015</x:v>
      </x:c>
      <x:c r="D115" s="26" t="str">
        <x:v>wheelbase_mm</x:v>
      </x:c>
      <x:c r="E115" s="26" t="str">
        <x:v>NUMBER</x:v>
      </x:c>
      <x:c r="F115" s="26" t="n">
        <x:v>2640</x:v>
      </x:c>
      <x:c r="G115" s="26" t="str">
        <x:v>mm</x:v>
      </x:c>
      <x:c r="H115" s="26" t="str">
        <x:v>VERIFIED</x:v>
      </x:c>
      <x:c r="I115" s="26" t="str"/>
      <x:c r="J115" s="26" t="n">
        <x:v>2026</x:v>
      </x:c>
      <x:c r="K115" s="26" t="n">
        <x:v>2026</x:v>
      </x:c>
      <x:c r="L115" s="26" t="str">
        <x:v>TR</x:v>
      </x:c>
      <x:c r="M115" s="26" t="str"/>
      <x:c r="N115" s="26" t="str"/>
      <x:c r="O115" s="26" t="str"/>
      <x:c r="P115" s="26" t="str">
        <x:v>NONE</x:v>
      </x:c>
      <x:c r="Q115" s="26" t="str">
        <x:v>EXACT_SCALAR</x:v>
      </x:c>
      <x:c r="R115" s="26" t="n">
        <x:v>2640</x:v>
      </x:c>
      <x:c r="S115" s="26" t="str"/>
      <x:c r="T115" s="26" t="str"/>
      <x:c r="U115" s="26" t="str"/>
      <x:c r="V115" s="26"/>
      <x:c r="W115" s="26"/>
      <x:c r="X115" s="26"/>
      <x:c r="Y115" s="26"/>
      <x:c r="Z115" s="26"/>
    </x:row>
    <x:row r="116">
      <x:c r="A116" s="26" t="str">
        <x:v>FAC-000115</x:v>
      </x:c>
      <x:c r="B116" s="26" t="str">
        <x:v>GENERATION</x:v>
      </x:c>
      <x:c r="C116" s="26" t="str">
        <x:v>GEN-000015</x:v>
      </x:c>
      <x:c r="D116" s="26" t="str">
        <x:v>cargo_volume_l</x:v>
      </x:c>
      <x:c r="E116" s="26" t="str">
        <x:v>NUMBER</x:v>
      </x:c>
      <x:c r="F116" s="26" t="n">
        <x:v>388</x:v>
      </x:c>
      <x:c r="G116" s="26" t="str">
        <x:v>L</x:v>
      </x:c>
      <x:c r="H116" s="26" t="str">
        <x:v>VERIFIED</x:v>
      </x:c>
      <x:c r="I116" s="26" t="str"/>
      <x:c r="J116" s="26" t="n">
        <x:v>2026</x:v>
      </x:c>
      <x:c r="K116" s="26" t="n">
        <x:v>2026</x:v>
      </x:c>
      <x:c r="L116" s="26" t="str">
        <x:v>TR</x:v>
      </x:c>
      <x:c r="M116" s="26" t="str"/>
      <x:c r="N116" s="26" t="str"/>
      <x:c r="O116" s="26" t="str"/>
      <x:c r="P116" s="26" t="str">
        <x:v>NONE</x:v>
      </x:c>
      <x:c r="Q116" s="26" t="str">
        <x:v>EXACT_SCALAR</x:v>
      </x:c>
      <x:c r="R116" s="26" t="n">
        <x:v>388</x:v>
      </x:c>
      <x:c r="S116" s="26" t="str"/>
      <x:c r="T116" s="26" t="str"/>
      <x:c r="U116" s="26" t="str"/>
      <x:c r="V116" s="26"/>
      <x:c r="W116" s="26"/>
      <x:c r="X116" s="26"/>
      <x:c r="Y116" s="26"/>
      <x:c r="Z116" s="26"/>
    </x:row>
    <x:row r="117">
      <x:c r="A117" s="26" t="str">
        <x:v>FAC-000116</x:v>
      </x:c>
      <x:c r="B117" s="26" t="str">
        <x:v>GENERATION</x:v>
      </x:c>
      <x:c r="C117" s="26" t="str">
        <x:v>GEN-000015</x:v>
      </x:c>
      <x:c r="D117" s="26" t="str">
        <x:v>seats</x:v>
      </x:c>
      <x:c r="E117" s="26" t="str">
        <x:v>NUMBER</x:v>
      </x:c>
      <x:c r="F117" s="26" t="n">
        <x:v>5</x:v>
      </x:c>
      <x:c r="G117" s="26" t="str">
        <x:v>count</x:v>
      </x:c>
      <x:c r="H117" s="26" t="str">
        <x:v>VERIFIED</x:v>
      </x:c>
      <x:c r="I117" s="26" t="str"/>
      <x:c r="J117" s="26" t="n">
        <x:v>2026</x:v>
      </x:c>
      <x:c r="K117" s="26" t="n">
        <x:v>2026</x:v>
      </x:c>
      <x:c r="L117" s="26" t="str">
        <x:v>TR</x:v>
      </x:c>
      <x:c r="M117" s="26" t="str"/>
      <x:c r="N117" s="26" t="str"/>
      <x:c r="O117" s="26" t="str"/>
      <x:c r="P117" s="26" t="str">
        <x:v>NONE</x:v>
      </x:c>
      <x:c r="Q117" s="26" t="str">
        <x:v>EXACT_SCALAR</x:v>
      </x:c>
      <x:c r="R117" s="26" t="n">
        <x:v>5</x:v>
      </x:c>
      <x:c r="S117" s="26" t="str"/>
      <x:c r="T117" s="26" t="str"/>
      <x:c r="U117" s="26" t="str"/>
      <x:c r="V117" s="26"/>
      <x:c r="W117" s="26"/>
      <x:c r="X117" s="26"/>
      <x:c r="Y117" s="26"/>
      <x:c r="Z117" s="26"/>
    </x:row>
    <x:row r="118">
      <x:c r="A118" s="26" t="str">
        <x:v>FAC-000117</x:v>
      </x:c>
      <x:c r="B118" s="26" t="str">
        <x:v>POWERTRAIN</x:v>
      </x:c>
      <x:c r="C118" s="26" t="str">
        <x:v>PWR-000016</x:v>
      </x:c>
      <x:c r="D118" s="26" t="str">
        <x:v>official_fuel_consumption_combined</x:v>
      </x:c>
      <x:c r="E118" s="26" t="str">
        <x:v>NUMBER</x:v>
      </x:c>
      <x:c r="F118" s="26" t="str"/>
      <x:c r="G118" s="26" t="str">
        <x:v>L/100km</x:v>
      </x:c>
      <x:c r="H118" s="26" t="str">
        <x:v>VERIFIED</x:v>
      </x:c>
      <x:c r="I118" s="26" t="str"/>
      <x:c r="J118" s="26" t="n">
        <x:v>2026</x:v>
      </x:c>
      <x:c r="K118" s="26" t="n">
        <x:v>2026</x:v>
      </x:c>
      <x:c r="L118" s="26" t="str">
        <x:v>TR</x:v>
      </x:c>
      <x:c r="M118" s="26" t="str"/>
      <x:c r="N118" s="26" t="n">
        <x:v>4.7</x:v>
      </x:c>
      <x:c r="O118" s="26" t="n">
        <x:v>4.9</x:v>
      </x:c>
      <x:c r="P118" s="26" t="str">
        <x:v>MIN_MAX</x:v>
      </x:c>
      <x:c r="Q118" s="26" t="str">
        <x:v>EXACT_RANGE</x:v>
      </x:c>
      <x:c r="R118" s="26" t="str">
        <x:v>4.7-4.9</x:v>
      </x:c>
      <x:c r="S118" s="26" t="str"/>
      <x:c r="T118" s="26" t="str"/>
      <x:c r="U118" s="26" t="str"/>
      <x:c r="V118" s="26"/>
      <x:c r="W118" s="26"/>
      <x:c r="X118" s="26"/>
      <x:c r="Y118" s="26"/>
      <x:c r="Z118" s="26"/>
    </x:row>
    <x:row r="119">
      <x:c r="A119" s="26" t="str">
        <x:v>FAC-000118</x:v>
      </x:c>
      <x:c r="B119" s="26" t="str">
        <x:v>POWERTRAIN</x:v>
      </x:c>
      <x:c r="C119" s="26" t="str">
        <x:v>PWR-000017</x:v>
      </x:c>
      <x:c r="D119" s="26" t="str">
        <x:v>engine_displacement_cc</x:v>
      </x:c>
      <x:c r="E119" s="26" t="str">
        <x:v>NUMBER</x:v>
      </x:c>
      <x:c r="F119" s="26" t="n">
        <x:v>1498</x:v>
      </x:c>
      <x:c r="G119" s="26" t="str">
        <x:v>cc</x:v>
      </x:c>
      <x:c r="H119" s="26" t="str">
        <x:v>VERIFIED</x:v>
      </x:c>
      <x:c r="I119" s="26" t="str"/>
      <x:c r="J119" s="26" t="n">
        <x:v>2026</x:v>
      </x:c>
      <x:c r="K119" s="26" t="n">
        <x:v>2026</x:v>
      </x:c>
      <x:c r="L119" s="26" t="str">
        <x:v>TR</x:v>
      </x:c>
      <x:c r="M119" s="26" t="str"/>
      <x:c r="N119" s="26" t="str"/>
      <x:c r="O119" s="26" t="str"/>
      <x:c r="P119" s="26" t="str">
        <x:v>NONE</x:v>
      </x:c>
      <x:c r="Q119" s="26" t="str">
        <x:v>EXACT_SCALAR</x:v>
      </x:c>
      <x:c r="R119" s="26" t="n">
        <x:v>1498</x:v>
      </x:c>
      <x:c r="S119" s="26" t="str"/>
      <x:c r="T119" s="26" t="str"/>
      <x:c r="U119" s="26" t="str"/>
      <x:c r="V119" s="26"/>
      <x:c r="W119" s="26"/>
      <x:c r="X119" s="26"/>
      <x:c r="Y119" s="26"/>
      <x:c r="Z119" s="26"/>
    </x:row>
    <x:row r="120">
      <x:c r="A120" s="26" t="str">
        <x:v>FAC-000119</x:v>
      </x:c>
      <x:c r="B120" s="26" t="str">
        <x:v>POWERTRAIN</x:v>
      </x:c>
      <x:c r="C120" s="26" t="str">
        <x:v>PWR-000017</x:v>
      </x:c>
      <x:c r="D120" s="26" t="str">
        <x:v>torque_nm</x:v>
      </x:c>
      <x:c r="E120" s="26" t="str">
        <x:v>NUMBER</x:v>
      </x:c>
      <x:c r="F120" s="26" t="n">
        <x:v>131</x:v>
      </x:c>
      <x:c r="G120" s="26" t="str">
        <x:v>Nm</x:v>
      </x:c>
      <x:c r="H120" s="26" t="str">
        <x:v>VERIFIED</x:v>
      </x:c>
      <x:c r="I120" s="26" t="str"/>
      <x:c r="J120" s="26" t="n">
        <x:v>2026</x:v>
      </x:c>
      <x:c r="K120" s="26" t="n">
        <x:v>2026</x:v>
      </x:c>
      <x:c r="L120" s="26" t="str">
        <x:v>TR</x:v>
      </x:c>
      <x:c r="M120" s="26" t="str"/>
      <x:c r="N120" s="26" t="str"/>
      <x:c r="O120" s="26" t="str"/>
      <x:c r="P120" s="26" t="str">
        <x:v>NONE</x:v>
      </x:c>
      <x:c r="Q120" s="26" t="str">
        <x:v>EXACT_SCALAR</x:v>
      </x:c>
      <x:c r="R120" s="26" t="n">
        <x:v>131</x:v>
      </x:c>
      <x:c r="S120" s="26" t="str"/>
      <x:c r="T120" s="26" t="str"/>
      <x:c r="U120" s="26" t="str"/>
      <x:c r="V120" s="26"/>
      <x:c r="W120" s="26"/>
      <x:c r="X120" s="26"/>
      <x:c r="Y120" s="26"/>
      <x:c r="Z120" s="26"/>
    </x:row>
    <x:row r="121">
      <x:c r="A121" s="26" t="str">
        <x:v>FAC-000120</x:v>
      </x:c>
      <x:c r="B121" s="26" t="str">
        <x:v>POWERTRAIN</x:v>
      </x:c>
      <x:c r="C121" s="26" t="str">
        <x:v>PWR-000018</x:v>
      </x:c>
      <x:c r="D121" s="26" t="str">
        <x:v>engine_displacement_cc</x:v>
      </x:c>
      <x:c r="E121" s="26" t="str">
        <x:v>NUMBER</x:v>
      </x:c>
      <x:c r="F121" s="26" t="n">
        <x:v>1995</x:v>
      </x:c>
      <x:c r="G121" s="26" t="str">
        <x:v>cc</x:v>
      </x:c>
      <x:c r="H121" s="26" t="str">
        <x:v>VERIFIED</x:v>
      </x:c>
      <x:c r="I121" s="26" t="str"/>
      <x:c r="J121" s="26" t="n">
        <x:v>2026</x:v>
      </x:c>
      <x:c r="K121" s="26" t="n">
        <x:v>2026</x:v>
      </x:c>
      <x:c r="L121" s="26" t="str">
        <x:v>TR</x:v>
      </x:c>
      <x:c r="M121" s="26" t="str"/>
      <x:c r="N121" s="26" t="str"/>
      <x:c r="O121" s="26" t="str"/>
      <x:c r="P121" s="26" t="str">
        <x:v>NONE</x:v>
      </x:c>
      <x:c r="Q121" s="26" t="str">
        <x:v>EXACT_SCALAR</x:v>
      </x:c>
      <x:c r="R121" s="26" t="n">
        <x:v>1995</x:v>
      </x:c>
      <x:c r="S121" s="26" t="str"/>
      <x:c r="T121" s="26" t="str"/>
      <x:c r="U121" s="26" t="str"/>
      <x:c r="V121" s="26"/>
      <x:c r="W121" s="26"/>
      <x:c r="X121" s="26"/>
      <x:c r="Y121" s="26"/>
      <x:c r="Z121" s="26"/>
    </x:row>
    <x:row r="122">
      <x:c r="A122" s="26" t="str">
        <x:v>FAC-000121</x:v>
      </x:c>
      <x:c r="B122" s="26" t="str">
        <x:v>POWERTRAIN</x:v>
      </x:c>
      <x:c r="C122" s="26" t="str">
        <x:v>PWR-000018</x:v>
      </x:c>
      <x:c r="D122" s="26" t="str">
        <x:v>power_kw</x:v>
      </x:c>
      <x:c r="E122" s="26" t="str">
        <x:v>NUMBER</x:v>
      </x:c>
      <x:c r="F122" s="26" t="n">
        <x:v>100</x:v>
      </x:c>
      <x:c r="G122" s="26" t="str">
        <x:v>kW</x:v>
      </x:c>
      <x:c r="H122" s="26" t="str">
        <x:v>VERIFIED</x:v>
      </x:c>
      <x:c r="I122" s="26" t="str"/>
      <x:c r="J122" s="26" t="n">
        <x:v>2026</x:v>
      </x:c>
      <x:c r="K122" s="26" t="n">
        <x:v>2026</x:v>
      </x:c>
      <x:c r="L122" s="26" t="str">
        <x:v>TR</x:v>
      </x:c>
      <x:c r="M122" s="26" t="str"/>
      <x:c r="N122" s="26" t="str"/>
      <x:c r="O122" s="26" t="str"/>
      <x:c r="P122" s="26" t="str">
        <x:v>NONE</x:v>
      </x:c>
      <x:c r="Q122" s="26" t="str">
        <x:v>EXACT_SCALAR</x:v>
      </x:c>
      <x:c r="R122" s="26" t="n">
        <x:v>100</x:v>
      </x:c>
      <x:c r="S122" s="26" t="str"/>
      <x:c r="T122" s="26" t="str"/>
      <x:c r="U122" s="26" t="str"/>
      <x:c r="V122" s="26"/>
      <x:c r="W122" s="26"/>
      <x:c r="X122" s="26"/>
      <x:c r="Y122" s="26"/>
      <x:c r="Z122" s="26"/>
    </x:row>
    <x:row r="123">
      <x:c r="A123" s="26" t="str">
        <x:v>FAC-000122</x:v>
      </x:c>
      <x:c r="B123" s="26" t="str">
        <x:v>POWERTRAIN</x:v>
      </x:c>
      <x:c r="C123" s="26" t="str">
        <x:v>PWR-000018</x:v>
      </x:c>
      <x:c r="D123" s="26" t="str">
        <x:v>torque_nm</x:v>
      </x:c>
      <x:c r="E123" s="26" t="str">
        <x:v>NUMBER</x:v>
      </x:c>
      <x:c r="F123" s="26" t="n">
        <x:v>182</x:v>
      </x:c>
      <x:c r="G123" s="26" t="str">
        <x:v>Nm</x:v>
      </x:c>
      <x:c r="H123" s="26" t="str">
        <x:v>VERIFIED</x:v>
      </x:c>
      <x:c r="I123" s="26" t="str"/>
      <x:c r="J123" s="26" t="n">
        <x:v>2026</x:v>
      </x:c>
      <x:c r="K123" s="26" t="n">
        <x:v>2026</x:v>
      </x:c>
      <x:c r="L123" s="26" t="str">
        <x:v>TR</x:v>
      </x:c>
      <x:c r="M123" s="26" t="str"/>
      <x:c r="N123" s="26" t="str"/>
      <x:c r="O123" s="26" t="str"/>
      <x:c r="P123" s="26" t="str">
        <x:v>NONE</x:v>
      </x:c>
      <x:c r="Q123" s="26" t="str">
        <x:v>EXACT_SCALAR</x:v>
      </x:c>
      <x:c r="R123" s="26" t="n">
        <x:v>182</x:v>
      </x:c>
      <x:c r="S123" s="26" t="str"/>
      <x:c r="T123" s="26" t="str"/>
      <x:c r="U123" s="26" t="str"/>
      <x:c r="V123" s="26"/>
      <x:c r="W123" s="26"/>
      <x:c r="X123" s="26"/>
      <x:c r="Y123" s="26"/>
      <x:c r="Z123" s="26"/>
    </x:row>
    <x:row r="124">
      <x:c r="A124" s="26" t="str">
        <x:v>FAC-000123</x:v>
      </x:c>
      <x:c r="B124" s="26" t="str">
        <x:v>GENERATION</x:v>
      </x:c>
      <x:c r="C124" s="26" t="str">
        <x:v>GEN-000017</x:v>
      </x:c>
      <x:c r="D124" s="26" t="str">
        <x:v>length_mm</x:v>
      </x:c>
      <x:c r="E124" s="26" t="str">
        <x:v>NUMBER</x:v>
      </x:c>
      <x:c r="F124" s="26" t="n">
        <x:v>4495</x:v>
      </x:c>
      <x:c r="G124" s="26" t="str">
        <x:v>mm</x:v>
      </x:c>
      <x:c r="H124" s="26" t="str">
        <x:v>VERIFIED</x:v>
      </x:c>
      <x:c r="I124" s="26" t="str"/>
      <x:c r="J124" s="26" t="n">
        <x:v>2026</x:v>
      </x:c>
      <x:c r="K124" s="26" t="n">
        <x:v>2026</x:v>
      </x:c>
      <x:c r="L124" s="26" t="str">
        <x:v>TR</x:v>
      </x:c>
      <x:c r="M124" s="26" t="str"/>
      <x:c r="N124" s="26" t="str"/>
      <x:c r="O124" s="26" t="str"/>
      <x:c r="P124" s="26" t="str">
        <x:v>NONE</x:v>
      </x:c>
      <x:c r="Q124" s="26" t="str">
        <x:v>EXACT_SCALAR</x:v>
      </x:c>
      <x:c r="R124" s="26" t="n">
        <x:v>4495</x:v>
      </x:c>
      <x:c r="S124" s="26" t="str"/>
      <x:c r="T124" s="26" t="str"/>
      <x:c r="U124" s="26" t="str"/>
      <x:c r="V124" s="26"/>
      <x:c r="W124" s="26"/>
      <x:c r="X124" s="26"/>
      <x:c r="Y124" s="26"/>
      <x:c r="Z124" s="26"/>
    </x:row>
    <x:row r="125">
      <x:c r="A125" s="26" t="str">
        <x:v>FAC-000124</x:v>
      </x:c>
      <x:c r="B125" s="26" t="str">
        <x:v>GENERATION</x:v>
      </x:c>
      <x:c r="C125" s="26" t="str">
        <x:v>GEN-000017</x:v>
      </x:c>
      <x:c r="D125" s="26" t="str">
        <x:v>width_mm</x:v>
      </x:c>
      <x:c r="E125" s="26" t="str">
        <x:v>NUMBER</x:v>
      </x:c>
      <x:c r="F125" s="26" t="n">
        <x:v>1800</x:v>
      </x:c>
      <x:c r="G125" s="26" t="str">
        <x:v>mm</x:v>
      </x:c>
      <x:c r="H125" s="26" t="str">
        <x:v>VERIFIED</x:v>
      </x:c>
      <x:c r="I125" s="26" t="str"/>
      <x:c r="J125" s="26" t="n">
        <x:v>2026</x:v>
      </x:c>
      <x:c r="K125" s="26" t="n">
        <x:v>2026</x:v>
      </x:c>
      <x:c r="L125" s="26" t="str">
        <x:v>TR</x:v>
      </x:c>
      <x:c r="M125" s="26" t="str"/>
      <x:c r="N125" s="26" t="str"/>
      <x:c r="O125" s="26" t="str"/>
      <x:c r="P125" s="26" t="str">
        <x:v>NONE</x:v>
      </x:c>
      <x:c r="Q125" s="26" t="str">
        <x:v>EXACT_SCALAR</x:v>
      </x:c>
      <x:c r="R125" s="26" t="n">
        <x:v>1800</x:v>
      </x:c>
      <x:c r="S125" s="26" t="str"/>
      <x:c r="T125" s="26" t="str"/>
      <x:c r="U125" s="26" t="str"/>
      <x:c r="V125" s="26"/>
      <x:c r="W125" s="26"/>
      <x:c r="X125" s="26"/>
      <x:c r="Y125" s="26"/>
      <x:c r="Z125" s="26"/>
    </x:row>
    <x:row r="126">
      <x:c r="A126" s="26" t="str">
        <x:v>FAC-000125</x:v>
      </x:c>
      <x:c r="B126" s="26" t="str">
        <x:v>GENERATION</x:v>
      </x:c>
      <x:c r="C126" s="26" t="str">
        <x:v>GEN-000017</x:v>
      </x:c>
      <x:c r="D126" s="26" t="str">
        <x:v>height_mm</x:v>
      </x:c>
      <x:c r="E126" s="26" t="str">
        <x:v>NUMBER</x:v>
      </x:c>
      <x:c r="F126" s="26" t="n">
        <x:v>1600</x:v>
      </x:c>
      <x:c r="G126" s="26" t="str">
        <x:v>mm</x:v>
      </x:c>
      <x:c r="H126" s="26" t="str">
        <x:v>VERIFIED</x:v>
      </x:c>
      <x:c r="I126" s="26" t="str"/>
      <x:c r="J126" s="26" t="n">
        <x:v>2026</x:v>
      </x:c>
      <x:c r="K126" s="26" t="n">
        <x:v>2026</x:v>
      </x:c>
      <x:c r="L126" s="26" t="str">
        <x:v>TR</x:v>
      </x:c>
      <x:c r="M126" s="26" t="str"/>
      <x:c r="N126" s="26" t="str"/>
      <x:c r="O126" s="26" t="str"/>
      <x:c r="P126" s="26" t="str">
        <x:v>NONE</x:v>
      </x:c>
      <x:c r="Q126" s="26" t="str">
        <x:v>EXACT_SCALAR</x:v>
      </x:c>
      <x:c r="R126" s="26" t="n">
        <x:v>1600</x:v>
      </x:c>
      <x:c r="S126" s="26" t="str"/>
      <x:c r="T126" s="26" t="str"/>
      <x:c r="U126" s="26" t="str"/>
      <x:c r="V126" s="26"/>
      <x:c r="W126" s="26"/>
      <x:c r="X126" s="26"/>
      <x:c r="Y126" s="26"/>
      <x:c r="Z126" s="26"/>
    </x:row>
    <x:row r="127">
      <x:c r="A127" s="26" t="str">
        <x:v>FAC-000126</x:v>
      </x:c>
      <x:c r="B127" s="26" t="str">
        <x:v>GENERATION</x:v>
      </x:c>
      <x:c r="C127" s="26" t="str">
        <x:v>GEN-000017</x:v>
      </x:c>
      <x:c r="D127" s="26" t="str">
        <x:v>wheelbase_mm</x:v>
      </x:c>
      <x:c r="E127" s="26" t="str">
        <x:v>NUMBER</x:v>
      </x:c>
      <x:c r="F127" s="26" t="n">
        <x:v>2670</x:v>
      </x:c>
      <x:c r="G127" s="26" t="str">
        <x:v>mm</x:v>
      </x:c>
      <x:c r="H127" s="26" t="str">
        <x:v>VERIFIED</x:v>
      </x:c>
      <x:c r="I127" s="26" t="str"/>
      <x:c r="J127" s="26" t="n">
        <x:v>2026</x:v>
      </x:c>
      <x:c r="K127" s="26" t="n">
        <x:v>2026</x:v>
      </x:c>
      <x:c r="L127" s="26" t="str">
        <x:v>TR</x:v>
      </x:c>
      <x:c r="M127" s="26" t="str"/>
      <x:c r="N127" s="26" t="str"/>
      <x:c r="O127" s="26" t="str"/>
      <x:c r="P127" s="26" t="str">
        <x:v>NONE</x:v>
      </x:c>
      <x:c r="Q127" s="26" t="str">
        <x:v>EXACT_SCALAR</x:v>
      </x:c>
      <x:c r="R127" s="26" t="n">
        <x:v>2670</x:v>
      </x:c>
      <x:c r="S127" s="26" t="str"/>
      <x:c r="T127" s="26" t="str"/>
      <x:c r="U127" s="26" t="str"/>
      <x:c r="V127" s="26"/>
      <x:c r="W127" s="26"/>
      <x:c r="X127" s="26"/>
      <x:c r="Y127" s="26"/>
      <x:c r="Z127" s="26"/>
    </x:row>
    <x:row r="128">
      <x:c r="A128" s="26" t="str">
        <x:v>FAC-000127</x:v>
      </x:c>
      <x:c r="B128" s="26" t="str">
        <x:v>GENERATION</x:v>
      </x:c>
      <x:c r="C128" s="26" t="str">
        <x:v>GEN-000017</x:v>
      </x:c>
      <x:c r="D128" s="26" t="str">
        <x:v>ground_clearance_mm</x:v>
      </x:c>
      <x:c r="E128" s="26" t="str">
        <x:v>NUMBER</x:v>
      </x:c>
      <x:c r="F128" s="26" t="n">
        <x:v>220</x:v>
      </x:c>
      <x:c r="G128" s="26" t="str">
        <x:v>mm</x:v>
      </x:c>
      <x:c r="H128" s="26" t="str">
        <x:v>VERIFIED</x:v>
      </x:c>
      <x:c r="I128" s="26" t="str"/>
      <x:c r="J128" s="26" t="n">
        <x:v>2026</x:v>
      </x:c>
      <x:c r="K128" s="26" t="n">
        <x:v>2026</x:v>
      </x:c>
      <x:c r="L128" s="26" t="str">
        <x:v>TR</x:v>
      </x:c>
      <x:c r="M128" s="26" t="str"/>
      <x:c r="N128" s="26" t="str"/>
      <x:c r="O128" s="26" t="str"/>
      <x:c r="P128" s="26" t="str">
        <x:v>NONE</x:v>
      </x:c>
      <x:c r="Q128" s="26" t="str">
        <x:v>EXACT_SCALAR</x:v>
      </x:c>
      <x:c r="R128" s="26" t="n">
        <x:v>220</x:v>
      </x:c>
      <x:c r="S128" s="26" t="str"/>
      <x:c r="T128" s="26" t="str"/>
      <x:c r="U128" s="26" t="str"/>
      <x:c r="V128" s="26"/>
      <x:c r="W128" s="26"/>
      <x:c r="X128" s="26"/>
      <x:c r="Y128" s="26"/>
      <x:c r="Z128" s="26"/>
    </x:row>
    <x:row r="129">
      <x:c r="A129" s="26" t="str">
        <x:v>FAC-000128</x:v>
      </x:c>
      <x:c r="B129" s="26" t="str">
        <x:v>GENERATION</x:v>
      </x:c>
      <x:c r="C129" s="26" t="str">
        <x:v>GEN-000017</x:v>
      </x:c>
      <x:c r="D129" s="26" t="str">
        <x:v>cargo_volume_l</x:v>
      </x:c>
      <x:c r="E129" s="26" t="str">
        <x:v>NUMBER</x:v>
      </x:c>
      <x:c r="F129" s="26" t="n">
        <x:v>315</x:v>
      </x:c>
      <x:c r="G129" s="26" t="str">
        <x:v>L</x:v>
      </x:c>
      <x:c r="H129" s="26" t="str">
        <x:v>VERIFIED</x:v>
      </x:c>
      <x:c r="I129" s="26" t="str">
        <x:v>rear seats up</x:v>
      </x:c>
      <x:c r="J129" s="26" t="n">
        <x:v>2026</x:v>
      </x:c>
      <x:c r="K129" s="26" t="n">
        <x:v>2026</x:v>
      </x:c>
      <x:c r="L129" s="26" t="str">
        <x:v>TR</x:v>
      </x:c>
      <x:c r="M129" s="26" t="str"/>
      <x:c r="N129" s="26" t="str"/>
      <x:c r="O129" s="26" t="str"/>
      <x:c r="P129" s="26" t="str">
        <x:v>NONE</x:v>
      </x:c>
      <x:c r="Q129" s="26" t="str">
        <x:v>EXACT_SCALAR</x:v>
      </x:c>
      <x:c r="R129" s="26" t="n">
        <x:v>315</x:v>
      </x:c>
      <x:c r="S129" s="26" t="str"/>
      <x:c r="T129" s="26" t="str"/>
      <x:c r="U129" s="26" t="str"/>
      <x:c r="V129" s="26"/>
      <x:c r="W129" s="26"/>
      <x:c r="X129" s="26"/>
      <x:c r="Y129" s="26"/>
      <x:c r="Z129" s="26"/>
    </x:row>
    <x:row r="130">
      <x:c r="A130" s="26" t="str">
        <x:v>FAC-000129</x:v>
      </x:c>
      <x:c r="B130" s="26" t="str">
        <x:v>POWERTRAIN</x:v>
      </x:c>
      <x:c r="C130" s="26" t="str">
        <x:v>PWR-000019</x:v>
      </x:c>
      <x:c r="D130" s="26" t="str">
        <x:v>engine_displacement_cc</x:v>
      </x:c>
      <x:c r="E130" s="26" t="str">
        <x:v>NUMBER</x:v>
      </x:c>
      <x:c r="F130" s="26" t="n">
        <x:v>1498</x:v>
      </x:c>
      <x:c r="G130" s="26" t="str">
        <x:v>cc</x:v>
      </x:c>
      <x:c r="H130" s="26" t="str">
        <x:v>VERIFIED</x:v>
      </x:c>
      <x:c r="I130" s="26" t="str"/>
      <x:c r="J130" s="26" t="n">
        <x:v>2026</x:v>
      </x:c>
      <x:c r="K130" s="26" t="n">
        <x:v>2026</x:v>
      </x:c>
      <x:c r="L130" s="26" t="str">
        <x:v>TR</x:v>
      </x:c>
      <x:c r="M130" s="26" t="str"/>
      <x:c r="N130" s="26" t="str"/>
      <x:c r="O130" s="26" t="str"/>
      <x:c r="P130" s="26" t="str">
        <x:v>NONE</x:v>
      </x:c>
      <x:c r="Q130" s="26" t="str">
        <x:v>EXACT_SCALAR</x:v>
      </x:c>
      <x:c r="R130" s="26" t="n">
        <x:v>1498</x:v>
      </x:c>
      <x:c r="S130" s="26" t="str"/>
      <x:c r="T130" s="26" t="str"/>
      <x:c r="U130" s="26" t="str"/>
      <x:c r="V130" s="26"/>
      <x:c r="W130" s="26"/>
      <x:c r="X130" s="26"/>
      <x:c r="Y130" s="26"/>
      <x:c r="Z130" s="26"/>
    </x:row>
    <x:row r="131">
      <x:c r="A131" s="26" t="str">
        <x:v>FAC-000130</x:v>
      </x:c>
      <x:c r="B131" s="26" t="str">
        <x:v>POWERTRAIN</x:v>
      </x:c>
      <x:c r="C131" s="26" t="str">
        <x:v>PWR-000019</x:v>
      </x:c>
      <x:c r="D131" s="26" t="str">
        <x:v>power_kw</x:v>
      </x:c>
      <x:c r="E131" s="26" t="str">
        <x:v>NUMBER</x:v>
      </x:c>
      <x:c r="F131" s="26" t="n">
        <x:v>110</x:v>
      </x:c>
      <x:c r="G131" s="26" t="str">
        <x:v>kW</x:v>
      </x:c>
      <x:c r="H131" s="26" t="str">
        <x:v>VERIFIED</x:v>
      </x:c>
      <x:c r="I131" s="26" t="str"/>
      <x:c r="J131" s="26" t="n">
        <x:v>2026</x:v>
      </x:c>
      <x:c r="K131" s="26" t="n">
        <x:v>2026</x:v>
      </x:c>
      <x:c r="L131" s="26" t="str">
        <x:v>TR</x:v>
      </x:c>
      <x:c r="M131" s="26" t="str"/>
      <x:c r="N131" s="26" t="str"/>
      <x:c r="O131" s="26" t="str"/>
      <x:c r="P131" s="26" t="str">
        <x:v>NONE</x:v>
      </x:c>
      <x:c r="Q131" s="26" t="str">
        <x:v>EXACT_SCALAR</x:v>
      </x:c>
      <x:c r="R131" s="26" t="n">
        <x:v>110</x:v>
      </x:c>
      <x:c r="S131" s="26" t="str"/>
      <x:c r="T131" s="26" t="str"/>
      <x:c r="U131" s="26" t="str"/>
      <x:c r="V131" s="26"/>
      <x:c r="W131" s="26"/>
      <x:c r="X131" s="26"/>
      <x:c r="Y131" s="26"/>
      <x:c r="Z131" s="26"/>
    </x:row>
    <x:row r="132">
      <x:c r="A132" s="26" t="str">
        <x:v>FAC-000131</x:v>
      </x:c>
      <x:c r="B132" s="26" t="str">
        <x:v>POWERTRAIN</x:v>
      </x:c>
      <x:c r="C132" s="26" t="str">
        <x:v>PWR-000019</x:v>
      </x:c>
      <x:c r="D132" s="26" t="str">
        <x:v>torque_nm</x:v>
      </x:c>
      <x:c r="E132" s="26" t="str">
        <x:v>NUMBER</x:v>
      </x:c>
      <x:c r="F132" s="26" t="n">
        <x:v>250</x:v>
      </x:c>
      <x:c r="G132" s="26" t="str">
        <x:v>Nm</x:v>
      </x:c>
      <x:c r="H132" s="26" t="str">
        <x:v>VERIFIED</x:v>
      </x:c>
      <x:c r="I132" s="26" t="str"/>
      <x:c r="J132" s="26" t="n">
        <x:v>2026</x:v>
      </x:c>
      <x:c r="K132" s="26" t="n">
        <x:v>2026</x:v>
      </x:c>
      <x:c r="L132" s="26" t="str">
        <x:v>TR</x:v>
      </x:c>
      <x:c r="M132" s="26" t="str"/>
      <x:c r="N132" s="26" t="str"/>
      <x:c r="O132" s="26" t="str"/>
      <x:c r="P132" s="26" t="str">
        <x:v>NONE</x:v>
      </x:c>
      <x:c r="Q132" s="26" t="str">
        <x:v>EXACT_SCALAR</x:v>
      </x:c>
      <x:c r="R132" s="26" t="n">
        <x:v>250</x:v>
      </x:c>
      <x:c r="S132" s="26" t="str"/>
      <x:c r="T132" s="26" t="str"/>
      <x:c r="U132" s="26" t="str"/>
      <x:c r="V132" s="26"/>
      <x:c r="W132" s="26"/>
      <x:c r="X132" s="26"/>
      <x:c r="Y132" s="26"/>
      <x:c r="Z132" s="26"/>
    </x:row>
    <x:row r="133">
      <x:c r="A133" s="26" t="str">
        <x:v>FAC-000132</x:v>
      </x:c>
      <x:c r="B133" s="26" t="str">
        <x:v>POWERTRAIN</x:v>
      </x:c>
      <x:c r="C133" s="26" t="str">
        <x:v>PWR-000020</x:v>
      </x:c>
      <x:c r="D133" s="26" t="str">
        <x:v>engine_displacement_cc</x:v>
      </x:c>
      <x:c r="E133" s="26" t="str">
        <x:v>NUMBER</x:v>
      </x:c>
      <x:c r="F133" s="26" t="n">
        <x:v>1498</x:v>
      </x:c>
      <x:c r="G133" s="26" t="str">
        <x:v>cc</x:v>
      </x:c>
      <x:c r="H133" s="26" t="str">
        <x:v>VERIFIED</x:v>
      </x:c>
      <x:c r="I133" s="26" t="str"/>
      <x:c r="J133" s="26" t="n">
        <x:v>2026</x:v>
      </x:c>
      <x:c r="K133" s="26" t="n">
        <x:v>2026</x:v>
      </x:c>
      <x:c r="L133" s="26" t="str">
        <x:v>TR</x:v>
      </x:c>
      <x:c r="M133" s="26" t="str"/>
      <x:c r="N133" s="26" t="str"/>
      <x:c r="O133" s="26" t="str"/>
      <x:c r="P133" s="26" t="str">
        <x:v>NONE</x:v>
      </x:c>
      <x:c r="Q133" s="26" t="str">
        <x:v>EXACT_SCALAR</x:v>
      </x:c>
      <x:c r="R133" s="26" t="n">
        <x:v>1498</x:v>
      </x:c>
      <x:c r="S133" s="26" t="str"/>
      <x:c r="T133" s="26" t="str"/>
      <x:c r="U133" s="26" t="str"/>
      <x:c r="V133" s="26"/>
      <x:c r="W133" s="26"/>
      <x:c r="X133" s="26"/>
      <x:c r="Y133" s="26"/>
      <x:c r="Z133" s="26"/>
    </x:row>
    <x:row r="134">
      <x:c r="A134" s="26" t="str">
        <x:v>FAC-000133</x:v>
      </x:c>
      <x:c r="B134" s="26" t="str">
        <x:v>POWERTRAIN</x:v>
      </x:c>
      <x:c r="C134" s="26" t="str">
        <x:v>PWR-000020</x:v>
      </x:c>
      <x:c r="D134" s="26" t="str">
        <x:v>power_kw</x:v>
      </x:c>
      <x:c r="E134" s="26" t="str">
        <x:v>NUMBER</x:v>
      </x:c>
      <x:c r="F134" s="26" t="n">
        <x:v>200</x:v>
      </x:c>
      <x:c r="G134" s="26" t="str">
        <x:v>kW</x:v>
      </x:c>
      <x:c r="H134" s="26" t="str">
        <x:v>VERIFIED</x:v>
      </x:c>
      <x:c r="I134" s="26" t="str"/>
      <x:c r="J134" s="26" t="n">
        <x:v>2026</x:v>
      </x:c>
      <x:c r="K134" s="26" t="n">
        <x:v>2026</x:v>
      </x:c>
      <x:c r="L134" s="26" t="str">
        <x:v>TR</x:v>
      </x:c>
      <x:c r="M134" s="26" t="str"/>
      <x:c r="N134" s="26" t="str"/>
      <x:c r="O134" s="26" t="str"/>
      <x:c r="P134" s="26" t="str">
        <x:v>NONE</x:v>
      </x:c>
      <x:c r="Q134" s="26" t="str">
        <x:v>EXACT_SCALAR</x:v>
      </x:c>
      <x:c r="R134" s="26" t="n">
        <x:v>200</x:v>
      </x:c>
      <x:c r="S134" s="26" t="str"/>
      <x:c r="T134" s="26" t="str"/>
      <x:c r="U134" s="26" t="str"/>
      <x:c r="V134" s="26"/>
      <x:c r="W134" s="26"/>
      <x:c r="X134" s="26"/>
      <x:c r="Y134" s="26"/>
      <x:c r="Z134" s="26"/>
    </x:row>
    <x:row r="135">
      <x:c r="A135" s="26" t="str">
        <x:v>FAC-000134</x:v>
      </x:c>
      <x:c r="B135" s="26" t="str">
        <x:v>POWERTRAIN</x:v>
      </x:c>
      <x:c r="C135" s="26" t="str">
        <x:v>PWR-000020</x:v>
      </x:c>
      <x:c r="D135" s="26" t="str">
        <x:v>official_electric_range</x:v>
      </x:c>
      <x:c r="E135" s="26" t="str">
        <x:v>NUMBER</x:v>
      </x:c>
      <x:c r="F135" s="26" t="str"/>
      <x:c r="G135" s="26" t="str">
        <x:v>km</x:v>
      </x:c>
      <x:c r="H135" s="26" t="str">
        <x:v>VERIFIED</x:v>
      </x:c>
      <x:c r="I135" s="26" t="str"/>
      <x:c r="J135" s="26" t="n">
        <x:v>2026</x:v>
      </x:c>
      <x:c r="K135" s="26" t="n">
        <x:v>2026</x:v>
      </x:c>
      <x:c r="L135" s="26" t="str">
        <x:v>TR</x:v>
      </x:c>
      <x:c r="M135" s="26" t="str"/>
      <x:c r="N135" s="26" t="n">
        <x:v>116</x:v>
      </x:c>
      <x:c r="O135" s="26" t="n">
        <x:v>126</x:v>
      </x:c>
      <x:c r="P135" s="26" t="str">
        <x:v>MIN_MAX</x:v>
      </x:c>
      <x:c r="Q135" s="26" t="str">
        <x:v>EXACT_RANGE</x:v>
      </x:c>
      <x:c r="R135" s="26" t="str">
        <x:v>116-126 km WLTP combined depending configuration</x:v>
      </x:c>
      <x:c r="S135" s="26" t="str"/>
      <x:c r="T135" s="26" t="str"/>
      <x:c r="U135" s="26" t="str"/>
      <x:c r="V135" s="26"/>
      <x:c r="W135" s="26"/>
      <x:c r="X135" s="26"/>
      <x:c r="Y135" s="26"/>
      <x:c r="Z135" s="26"/>
    </x:row>
    <x:row r="136">
      <x:c r="A136" s="26" t="str">
        <x:v>FAC-000135</x:v>
      </x:c>
      <x:c r="B136" s="26" t="str">
        <x:v>POWERTRAIN</x:v>
      </x:c>
      <x:c r="C136" s="26" t="str">
        <x:v>PWR-000021</x:v>
      </x:c>
      <x:c r="D136" s="26" t="str">
        <x:v>engine_displacement_cc</x:v>
      </x:c>
      <x:c r="E136" s="26" t="str">
        <x:v>NUMBER</x:v>
      </x:c>
      <x:c r="F136" s="26" t="n">
        <x:v>1498</x:v>
      </x:c>
      <x:c r="G136" s="26" t="str">
        <x:v>cc</x:v>
      </x:c>
      <x:c r="H136" s="26" t="str">
        <x:v>VERIFIED</x:v>
      </x:c>
      <x:c r="I136" s="26" t="str"/>
      <x:c r="J136" s="26" t="n">
        <x:v>2026</x:v>
      </x:c>
      <x:c r="K136" s="26" t="n">
        <x:v>2026</x:v>
      </x:c>
      <x:c r="L136" s="26" t="str">
        <x:v>TR</x:v>
      </x:c>
      <x:c r="M136" s="26" t="str"/>
      <x:c r="N136" s="26" t="str"/>
      <x:c r="O136" s="26" t="str"/>
      <x:c r="P136" s="26" t="str">
        <x:v>NONE</x:v>
      </x:c>
      <x:c r="Q136" s="26" t="str">
        <x:v>EXACT_SCALAR</x:v>
      </x:c>
      <x:c r="R136" s="26" t="n">
        <x:v>1498</x:v>
      </x:c>
      <x:c r="S136" s="26" t="str"/>
      <x:c r="T136" s="26" t="str"/>
      <x:c r="U136" s="26" t="str"/>
      <x:c r="V136" s="26"/>
      <x:c r="W136" s="26"/>
      <x:c r="X136" s="26"/>
      <x:c r="Y136" s="26"/>
      <x:c r="Z136" s="26"/>
    </x:row>
    <x:row r="137">
      <x:c r="A137" s="26" t="str">
        <x:v>FAC-000136</x:v>
      </x:c>
      <x:c r="B137" s="26" t="str">
        <x:v>POWERTRAIN</x:v>
      </x:c>
      <x:c r="C137" s="26" t="str">
        <x:v>PWR-000021</x:v>
      </x:c>
      <x:c r="D137" s="26" t="str">
        <x:v>power_kw</x:v>
      </x:c>
      <x:c r="E137" s="26" t="str">
        <x:v>NUMBER</x:v>
      </x:c>
      <x:c r="F137" s="26" t="n">
        <x:v>165</x:v>
      </x:c>
      <x:c r="G137" s="26" t="str">
        <x:v>kW</x:v>
      </x:c>
      <x:c r="H137" s="26" t="str">
        <x:v>VERIFIED</x:v>
      </x:c>
      <x:c r="I137" s="26" t="str"/>
      <x:c r="J137" s="26" t="n">
        <x:v>2026</x:v>
      </x:c>
      <x:c r="K137" s="26" t="n">
        <x:v>2026</x:v>
      </x:c>
      <x:c r="L137" s="26" t="str">
        <x:v>TR</x:v>
      </x:c>
      <x:c r="M137" s="26" t="str"/>
      <x:c r="N137" s="26" t="str"/>
      <x:c r="O137" s="26" t="str"/>
      <x:c r="P137" s="26" t="str">
        <x:v>NONE</x:v>
      </x:c>
      <x:c r="Q137" s="26" t="str">
        <x:v>EXACT_SCALAR</x:v>
      </x:c>
      <x:c r="R137" s="26" t="n">
        <x:v>165</x:v>
      </x:c>
      <x:c r="S137" s="26" t="str"/>
      <x:c r="T137" s="26" t="str"/>
      <x:c r="U137" s="26" t="str"/>
      <x:c r="V137" s="26"/>
      <x:c r="W137" s="26"/>
      <x:c r="X137" s="26"/>
      <x:c r="Y137" s="26"/>
      <x:c r="Z137" s="26"/>
    </x:row>
    <x:row r="138">
      <x:c r="A138" s="26" t="str">
        <x:v>FAC-000137</x:v>
      </x:c>
      <x:c r="B138" s="26" t="str">
        <x:v>POWERTRAIN</x:v>
      </x:c>
      <x:c r="C138" s="26" t="str">
        <x:v>PWR-000021</x:v>
      </x:c>
      <x:c r="D138" s="26" t="str">
        <x:v>torque_nm</x:v>
      </x:c>
      <x:c r="E138" s="26" t="str">
        <x:v>NUMBER</x:v>
      </x:c>
      <x:c r="F138" s="26" t="n">
        <x:v>340</x:v>
      </x:c>
      <x:c r="G138" s="26" t="str">
        <x:v>Nm</x:v>
      </x:c>
      <x:c r="H138" s="26" t="str">
        <x:v>VERIFIED</x:v>
      </x:c>
      <x:c r="I138" s="26" t="str"/>
      <x:c r="J138" s="26" t="n">
        <x:v>2026</x:v>
      </x:c>
      <x:c r="K138" s="26" t="n">
        <x:v>2026</x:v>
      </x:c>
      <x:c r="L138" s="26" t="str">
        <x:v>TR</x:v>
      </x:c>
      <x:c r="M138" s="26" t="str"/>
      <x:c r="N138" s="26" t="str"/>
      <x:c r="O138" s="26" t="str"/>
      <x:c r="P138" s="26" t="str">
        <x:v>NONE</x:v>
      </x:c>
      <x:c r="Q138" s="26" t="str">
        <x:v>EXACT_SCALAR</x:v>
      </x:c>
      <x:c r="R138" s="26" t="n">
        <x:v>340</x:v>
      </x:c>
      <x:c r="S138" s="26" t="str"/>
      <x:c r="T138" s="26" t="str"/>
      <x:c r="U138" s="26" t="str"/>
      <x:c r="V138" s="26"/>
      <x:c r="W138" s="26"/>
      <x:c r="X138" s="26"/>
      <x:c r="Y138" s="26"/>
      <x:c r="Z138" s="26"/>
    </x:row>
    <x:row r="139">
      <x:c r="A139" s="26" t="str">
        <x:v>FAC-000138</x:v>
      </x:c>
      <x:c r="B139" s="26" t="str">
        <x:v>GENERATION</x:v>
      </x:c>
      <x:c r="C139" s="26" t="str">
        <x:v>GEN-000019</x:v>
      </x:c>
      <x:c r="D139" s="26" t="str">
        <x:v>length_mm</x:v>
      </x:c>
      <x:c r="E139" s="26" t="str">
        <x:v>NUMBER</x:v>
      </x:c>
      <x:c r="F139" s="26" t="n">
        <x:v>4670</x:v>
      </x:c>
      <x:c r="G139" s="26" t="str">
        <x:v>mm</x:v>
      </x:c>
      <x:c r="H139" s="26" t="str">
        <x:v>VERIFIED</x:v>
      </x:c>
      <x:c r="I139" s="26" t="str"/>
      <x:c r="J139" s="26" t="n">
        <x:v>2026</x:v>
      </x:c>
      <x:c r="K139" s="26" t="n">
        <x:v>2026</x:v>
      </x:c>
      <x:c r="L139" s="26" t="str">
        <x:v>TR</x:v>
      </x:c>
      <x:c r="M139" s="26" t="str"/>
      <x:c r="N139" s="26" t="str"/>
      <x:c r="O139" s="26" t="str"/>
      <x:c r="P139" s="26" t="str">
        <x:v>NONE</x:v>
      </x:c>
      <x:c r="Q139" s="26" t="str">
        <x:v>EXACT_SCALAR</x:v>
      </x:c>
      <x:c r="R139" s="26" t="n">
        <x:v>4670</x:v>
      </x:c>
      <x:c r="S139" s="26" t="str"/>
      <x:c r="T139" s="26" t="str"/>
      <x:c r="U139" s="26" t="str"/>
      <x:c r="V139" s="26"/>
      <x:c r="W139" s="26"/>
      <x:c r="X139" s="26"/>
      <x:c r="Y139" s="26"/>
      <x:c r="Z139" s="26"/>
    </x:row>
    <x:row r="140">
      <x:c r="A140" s="26" t="str">
        <x:v>FAC-000139</x:v>
      </x:c>
      <x:c r="B140" s="26" t="str">
        <x:v>GENERATION</x:v>
      </x:c>
      <x:c r="C140" s="26" t="str">
        <x:v>GEN-000019</x:v>
      </x:c>
      <x:c r="D140" s="26" t="str">
        <x:v>width_mm</x:v>
      </x:c>
      <x:c r="E140" s="26" t="str">
        <x:v>NUMBER</x:v>
      </x:c>
      <x:c r="F140" s="26" t="n">
        <x:v>1890</x:v>
      </x:c>
      <x:c r="G140" s="26" t="str">
        <x:v>mm</x:v>
      </x:c>
      <x:c r="H140" s="26" t="str">
        <x:v>VERIFIED</x:v>
      </x:c>
      <x:c r="I140" s="26" t="str"/>
      <x:c r="J140" s="26" t="n">
        <x:v>2026</x:v>
      </x:c>
      <x:c r="K140" s="26" t="n">
        <x:v>2026</x:v>
      </x:c>
      <x:c r="L140" s="26" t="str">
        <x:v>TR</x:v>
      </x:c>
      <x:c r="M140" s="26" t="str"/>
      <x:c r="N140" s="26" t="str"/>
      <x:c r="O140" s="26" t="str"/>
      <x:c r="P140" s="26" t="str">
        <x:v>NONE</x:v>
      </x:c>
      <x:c r="Q140" s="26" t="str">
        <x:v>EXACT_SCALAR</x:v>
      </x:c>
      <x:c r="R140" s="26" t="n">
        <x:v>1890</x:v>
      </x:c>
      <x:c r="S140" s="26" t="str"/>
      <x:c r="T140" s="26" t="str"/>
      <x:c r="U140" s="26" t="str"/>
      <x:c r="V140" s="26"/>
      <x:c r="W140" s="26"/>
      <x:c r="X140" s="26"/>
      <x:c r="Y140" s="26"/>
      <x:c r="Z140" s="26"/>
    </x:row>
    <x:row r="141">
      <x:c r="A141" s="26" t="str">
        <x:v>FAC-000140</x:v>
      </x:c>
      <x:c r="B141" s="26" t="str">
        <x:v>GENERATION</x:v>
      </x:c>
      <x:c r="C141" s="26" t="str">
        <x:v>GEN-000019</x:v>
      </x:c>
      <x:c r="D141" s="26" t="str">
        <x:v>height_mm</x:v>
      </x:c>
      <x:c r="E141" s="26" t="str">
        <x:v>NUMBER</x:v>
      </x:c>
      <x:c r="F141" s="26" t="n">
        <x:v>1665</x:v>
      </x:c>
      <x:c r="G141" s="26" t="str">
        <x:v>mm</x:v>
      </x:c>
      <x:c r="H141" s="26" t="str">
        <x:v>VERIFIED</x:v>
      </x:c>
      <x:c r="I141" s="26" t="str"/>
      <x:c r="J141" s="26" t="n">
        <x:v>2026</x:v>
      </x:c>
      <x:c r="K141" s="26" t="n">
        <x:v>2026</x:v>
      </x:c>
      <x:c r="L141" s="26" t="str">
        <x:v>TR</x:v>
      </x:c>
      <x:c r="M141" s="26" t="str"/>
      <x:c r="N141" s="26" t="str"/>
      <x:c r="O141" s="26" t="str"/>
      <x:c r="P141" s="26" t="str">
        <x:v>NONE</x:v>
      </x:c>
      <x:c r="Q141" s="26" t="str">
        <x:v>EXACT_SCALAR</x:v>
      </x:c>
      <x:c r="R141" s="26" t="n">
        <x:v>1665</x:v>
      </x:c>
      <x:c r="S141" s="26" t="str"/>
      <x:c r="T141" s="26" t="str"/>
      <x:c r="U141" s="26" t="str"/>
      <x:c r="V141" s="26"/>
      <x:c r="W141" s="26"/>
      <x:c r="X141" s="26"/>
      <x:c r="Y141" s="26"/>
      <x:c r="Z141" s="26"/>
    </x:row>
    <x:row r="142">
      <x:c r="A142" s="26" t="str">
        <x:v>FAC-000141</x:v>
      </x:c>
      <x:c r="B142" s="26" t="str">
        <x:v>GENERATION</x:v>
      </x:c>
      <x:c r="C142" s="26" t="str">
        <x:v>GEN-000019</x:v>
      </x:c>
      <x:c r="D142" s="26" t="str">
        <x:v>wheelbase_mm</x:v>
      </x:c>
      <x:c r="E142" s="26" t="str">
        <x:v>NUMBER</x:v>
      </x:c>
      <x:c r="F142" s="26" t="n">
        <x:v>2767</x:v>
      </x:c>
      <x:c r="G142" s="26" t="str">
        <x:v>mm</x:v>
      </x:c>
      <x:c r="H142" s="26" t="str">
        <x:v>VERIFIED</x:v>
      </x:c>
      <x:c r="I142" s="26" t="str"/>
      <x:c r="J142" s="26" t="n">
        <x:v>2026</x:v>
      </x:c>
      <x:c r="K142" s="26" t="n">
        <x:v>2026</x:v>
      </x:c>
      <x:c r="L142" s="26" t="str">
        <x:v>TR</x:v>
      </x:c>
      <x:c r="M142" s="26" t="str"/>
      <x:c r="N142" s="26" t="str"/>
      <x:c r="O142" s="26" t="str"/>
      <x:c r="P142" s="26" t="str">
        <x:v>NONE</x:v>
      </x:c>
      <x:c r="Q142" s="26" t="str">
        <x:v>EXACT_SCALAR</x:v>
      </x:c>
      <x:c r="R142" s="26" t="n">
        <x:v>2767</x:v>
      </x:c>
      <x:c r="S142" s="26" t="str"/>
      <x:c r="T142" s="26" t="str"/>
      <x:c r="U142" s="26" t="str"/>
      <x:c r="V142" s="26"/>
      <x:c r="W142" s="26"/>
      <x:c r="X142" s="26"/>
      <x:c r="Y142" s="26"/>
      <x:c r="Z142" s="26"/>
    </x:row>
    <x:row r="143">
      <x:c r="A143" s="26" t="str">
        <x:v>FAC-000142</x:v>
      </x:c>
      <x:c r="B143" s="26" t="str">
        <x:v>GENERATION</x:v>
      </x:c>
      <x:c r="C143" s="26" t="str">
        <x:v>GEN-000019</x:v>
      </x:c>
      <x:c r="D143" s="26" t="str">
        <x:v>cargo_volume_l</x:v>
      </x:c>
      <x:c r="E143" s="26" t="str">
        <x:v>NUMBER</x:v>
      </x:c>
      <x:c r="F143" s="26" t="n">
        <x:v>507</x:v>
      </x:c>
      <x:c r="G143" s="26" t="str">
        <x:v>L</x:v>
      </x:c>
      <x:c r="H143" s="26" t="str">
        <x:v>VERIFIED</x:v>
      </x:c>
      <x:c r="I143" s="26" t="str"/>
      <x:c r="J143" s="26" t="n">
        <x:v>2026</x:v>
      </x:c>
      <x:c r="K143" s="26" t="n">
        <x:v>2026</x:v>
      </x:c>
      <x:c r="L143" s="26" t="str">
        <x:v>TR</x:v>
      </x:c>
      <x:c r="M143" s="26" t="str"/>
      <x:c r="N143" s="26" t="str"/>
      <x:c r="O143" s="26" t="str"/>
      <x:c r="P143" s="26" t="str">
        <x:v>NONE</x:v>
      </x:c>
      <x:c r="Q143" s="26" t="str">
        <x:v>EXACT_SCALAR</x:v>
      </x:c>
      <x:c r="R143" s="26" t="n">
        <x:v>507</x:v>
      </x:c>
      <x:c r="S143" s="26" t="str"/>
      <x:c r="T143" s="26" t="str"/>
      <x:c r="U143" s="26" t="str"/>
      <x:c r="V143" s="26"/>
      <x:c r="W143" s="26"/>
      <x:c r="X143" s="26"/>
      <x:c r="Y143" s="26"/>
      <x:c r="Z143" s="26"/>
    </x:row>
    <x:row r="144">
      <x:c r="A144" s="26" t="str">
        <x:v>FAC-000143</x:v>
      </x:c>
      <x:c r="B144" s="26" t="str">
        <x:v>POWERTRAIN</x:v>
      </x:c>
      <x:c r="C144" s="26" t="str">
        <x:v>PWR-000021</x:v>
      </x:c>
      <x:c r="D144" s="26" t="str">
        <x:v>official_fuel_consumption_combined</x:v>
      </x:c>
      <x:c r="E144" s="26" t="str">
        <x:v>NUMBER</x:v>
      </x:c>
      <x:c r="F144" s="26" t="n">
        <x:v>5.5</x:v>
      </x:c>
      <x:c r="G144" s="26" t="str">
        <x:v>L/100km</x:v>
      </x:c>
      <x:c r="H144" s="26" t="str">
        <x:v>VERIFIED</x:v>
      </x:c>
      <x:c r="I144" s="26" t="str"/>
      <x:c r="J144" s="26" t="n">
        <x:v>2026</x:v>
      </x:c>
      <x:c r="K144" s="26" t="n">
        <x:v>2026</x:v>
      </x:c>
      <x:c r="L144" s="26" t="str">
        <x:v>TR</x:v>
      </x:c>
      <x:c r="M144" s="26" t="str"/>
      <x:c r="N144" s="26" t="str"/>
      <x:c r="O144" s="26" t="str"/>
      <x:c r="P144" s="26" t="str">
        <x:v>NONE</x:v>
      </x:c>
      <x:c r="Q144" s="26" t="str">
        <x:v>EXACT_SCALAR</x:v>
      </x:c>
      <x:c r="R144" s="26" t="n">
        <x:v>5.5</x:v>
      </x:c>
      <x:c r="S144" s="26" t="str"/>
      <x:c r="T144" s="26" t="str"/>
      <x:c r="U144" s="26" t="str"/>
      <x:c r="V144" s="26"/>
      <x:c r="W144" s="26"/>
      <x:c r="X144" s="26"/>
      <x:c r="Y144" s="26"/>
      <x:c r="Z144" s="26"/>
    </x:row>
    <x:row r="145">
      <x:c r="A145" s="26" t="str">
        <x:v>FAC-000144</x:v>
      </x:c>
      <x:c r="B145" s="26" t="str">
        <x:v>POWERTRAIN</x:v>
      </x:c>
      <x:c r="C145" s="26" t="str">
        <x:v>PWR-000022</x:v>
      </x:c>
      <x:c r="D145" s="26" t="str">
        <x:v>power_kw</x:v>
      </x:c>
      <x:c r="E145" s="26" t="str">
        <x:v>NUMBER</x:v>
      </x:c>
      <x:c r="F145" s="26" t="n">
        <x:v>140</x:v>
      </x:c>
      <x:c r="G145" s="26" t="str">
        <x:v>kW</x:v>
      </x:c>
      <x:c r="H145" s="26" t="str">
        <x:v>VERIFIED</x:v>
      </x:c>
      <x:c r="I145" s="26" t="str"/>
      <x:c r="J145" s="26" t="n">
        <x:v>2026</x:v>
      </x:c>
      <x:c r="K145" s="26" t="n">
        <x:v>2026</x:v>
      </x:c>
      <x:c r="L145" s="26" t="str">
        <x:v>TR</x:v>
      </x:c>
      <x:c r="M145" s="26" t="str"/>
      <x:c r="N145" s="26" t="str"/>
      <x:c r="O145" s="26" t="str"/>
      <x:c r="P145" s="26" t="str">
        <x:v>NONE</x:v>
      </x:c>
      <x:c r="Q145" s="26" t="str">
        <x:v>EXACT_SCALAR</x:v>
      </x:c>
      <x:c r="R145" s="26" t="n">
        <x:v>140</x:v>
      </x:c>
      <x:c r="S145" s="26" t="str"/>
      <x:c r="T145" s="26" t="str"/>
      <x:c r="U145" s="26" t="str"/>
      <x:c r="V145" s="26"/>
      <x:c r="W145" s="26"/>
      <x:c r="X145" s="26"/>
      <x:c r="Y145" s="26"/>
      <x:c r="Z145" s="26"/>
    </x:row>
    <x:row r="146">
      <x:c r="A146" s="26" t="str">
        <x:v>FAC-000145</x:v>
      </x:c>
      <x:c r="B146" s="26" t="str">
        <x:v>POWERTRAIN</x:v>
      </x:c>
      <x:c r="C146" s="26" t="str">
        <x:v>PWR-000022</x:v>
      </x:c>
      <x:c r="D146" s="26" t="str">
        <x:v>torque_nm</x:v>
      </x:c>
      <x:c r="E146" s="26" t="str">
        <x:v>NUMBER</x:v>
      </x:c>
      <x:c r="F146" s="26" t="n">
        <x:v>350</x:v>
      </x:c>
      <x:c r="G146" s="26" t="str">
        <x:v>Nm</x:v>
      </x:c>
      <x:c r="H146" s="26" t="str">
        <x:v>VERIFIED</x:v>
      </x:c>
      <x:c r="I146" s="26" t="str"/>
      <x:c r="J146" s="26" t="n">
        <x:v>2026</x:v>
      </x:c>
      <x:c r="K146" s="26" t="n">
        <x:v>2026</x:v>
      </x:c>
      <x:c r="L146" s="26" t="str">
        <x:v>TR</x:v>
      </x:c>
      <x:c r="M146" s="26" t="str"/>
      <x:c r="N146" s="26" t="str"/>
      <x:c r="O146" s="26" t="str"/>
      <x:c r="P146" s="26" t="str">
        <x:v>NONE</x:v>
      </x:c>
      <x:c r="Q146" s="26" t="str">
        <x:v>EXACT_SCALAR</x:v>
      </x:c>
      <x:c r="R146" s="26" t="n">
        <x:v>350</x:v>
      </x:c>
      <x:c r="S146" s="26" t="str"/>
      <x:c r="T146" s="26" t="str"/>
      <x:c r="U146" s="26" t="str"/>
      <x:c r="V146" s="26"/>
      <x:c r="W146" s="26"/>
      <x:c r="X146" s="26"/>
      <x:c r="Y146" s="26"/>
      <x:c r="Z146" s="26"/>
    </x:row>
    <x:row r="147">
      <x:c r="A147" s="26" t="str">
        <x:v>FAC-000146</x:v>
      </x:c>
      <x:c r="B147" s="26" t="str">
        <x:v>POWERTRAIN</x:v>
      </x:c>
      <x:c r="C147" s="26" t="str">
        <x:v>PWR-000022</x:v>
      </x:c>
      <x:c r="D147" s="26" t="str">
        <x:v>battery_capacity_reported_kwh</x:v>
      </x:c>
      <x:c r="E147" s="26" t="str">
        <x:v>NUMBER</x:v>
      </x:c>
      <x:c r="F147" s="26" t="n">
        <x:v>61</x:v>
      </x:c>
      <x:c r="G147" s="26" t="str">
        <x:v>kWh</x:v>
      </x:c>
      <x:c r="H147" s="26" t="str">
        <x:v>VERIFIED</x:v>
      </x:c>
      <x:c r="I147" s="26" t="str">
        <x:v>reported capacity; gross/usable not inferred</x:v>
      </x:c>
      <x:c r="J147" s="26" t="n">
        <x:v>2026</x:v>
      </x:c>
      <x:c r="K147" s="26" t="n">
        <x:v>2026</x:v>
      </x:c>
      <x:c r="L147" s="26" t="str">
        <x:v>TR</x:v>
      </x:c>
      <x:c r="M147" s="26" t="str"/>
      <x:c r="N147" s="26" t="str"/>
      <x:c r="O147" s="26" t="str"/>
      <x:c r="P147" s="26" t="str">
        <x:v>NONE</x:v>
      </x:c>
      <x:c r="Q147" s="26" t="str">
        <x:v>EXACT_SCALAR</x:v>
      </x:c>
      <x:c r="R147" s="26" t="n">
        <x:v>61</x:v>
      </x:c>
      <x:c r="S147" s="26" t="str"/>
      <x:c r="T147" s="26" t="str"/>
      <x:c r="U147" s="26" t="str"/>
      <x:c r="V147" s="26"/>
      <x:c r="W147" s="26"/>
      <x:c r="X147" s="26"/>
      <x:c r="Y147" s="26"/>
      <x:c r="Z147" s="26"/>
    </x:row>
    <x:row r="148">
      <x:c r="A148" s="26" t="str">
        <x:v>FAC-000147</x:v>
      </x:c>
      <x:c r="B148" s="26" t="str">
        <x:v>POWERTRAIN</x:v>
      </x:c>
      <x:c r="C148" s="26" t="str">
        <x:v>PWR-000022</x:v>
      </x:c>
      <x:c r="D148" s="26" t="str">
        <x:v>official_electric_range</x:v>
      </x:c>
      <x:c r="E148" s="26" t="str">
        <x:v>NUMBER</x:v>
      </x:c>
      <x:c r="F148" s="26" t="n">
        <x:v>445</x:v>
      </x:c>
      <x:c r="G148" s="26" t="str">
        <x:v>km</x:v>
      </x:c>
      <x:c r="H148" s="26" t="str">
        <x:v>VERIFIED</x:v>
      </x:c>
      <x:c r="I148" s="26" t="str">
        <x:v>WLTP combined</x:v>
      </x:c>
      <x:c r="J148" s="26" t="n">
        <x:v>2026</x:v>
      </x:c>
      <x:c r="K148" s="26" t="n">
        <x:v>2026</x:v>
      </x:c>
      <x:c r="L148" s="26" t="str">
        <x:v>TR</x:v>
      </x:c>
      <x:c r="M148" s="26" t="str"/>
      <x:c r="N148" s="26" t="str"/>
      <x:c r="O148" s="26" t="str"/>
      <x:c r="P148" s="26" t="str">
        <x:v>NONE</x:v>
      </x:c>
      <x:c r="Q148" s="26" t="str">
        <x:v>EXACT_SCALAR</x:v>
      </x:c>
      <x:c r="R148" s="26" t="n">
        <x:v>445</x:v>
      </x:c>
      <x:c r="S148" s="26" t="str"/>
      <x:c r="T148" s="26" t="str"/>
      <x:c r="U148" s="26" t="str"/>
      <x:c r="V148" s="26"/>
      <x:c r="W148" s="26"/>
      <x:c r="X148" s="26"/>
      <x:c r="Y148" s="26"/>
      <x:c r="Z148" s="26"/>
    </x:row>
    <x:row r="149">
      <x:c r="A149" s="26" t="str">
        <x:v>FAC-000148</x:v>
      </x:c>
      <x:c r="B149" s="26" t="str">
        <x:v>POWERTRAIN</x:v>
      </x:c>
      <x:c r="C149" s="26" t="str">
        <x:v>PWR-000022</x:v>
      </x:c>
      <x:c r="D149" s="26" t="str">
        <x:v>official_energy_consumption_combined</x:v>
      </x:c>
      <x:c r="E149" s="26" t="str">
        <x:v>NUMBER</x:v>
      </x:c>
      <x:c r="F149" s="26" t="n">
        <x:v>15.4</x:v>
      </x:c>
      <x:c r="G149" s="26" t="str">
        <x:v>kWh/100km</x:v>
      </x:c>
      <x:c r="H149" s="26" t="str">
        <x:v>VERIFIED</x:v>
      </x:c>
      <x:c r="I149" s="26" t="str"/>
      <x:c r="J149" s="26" t="n">
        <x:v>2026</x:v>
      </x:c>
      <x:c r="K149" s="26" t="n">
        <x:v>2026</x:v>
      </x:c>
      <x:c r="L149" s="26" t="str">
        <x:v>TR</x:v>
      </x:c>
      <x:c r="M149" s="26" t="str"/>
      <x:c r="N149" s="26" t="str"/>
      <x:c r="O149" s="26" t="str"/>
      <x:c r="P149" s="26" t="str">
        <x:v>NONE</x:v>
      </x:c>
      <x:c r="Q149" s="26" t="str">
        <x:v>EXACT_SCALAR</x:v>
      </x:c>
      <x:c r="R149" s="26" t="n">
        <x:v>15.4</x:v>
      </x:c>
      <x:c r="S149" s="26" t="str"/>
      <x:c r="T149" s="26" t="str"/>
      <x:c r="U149" s="26" t="str"/>
      <x:c r="V149" s="26"/>
      <x:c r="W149" s="26"/>
      <x:c r="X149" s="26"/>
      <x:c r="Y149" s="26"/>
      <x:c r="Z149" s="26"/>
    </x:row>
    <x:row r="150">
      <x:c r="A150" s="26" t="str">
        <x:v>FAC-000149</x:v>
      </x:c>
      <x:c r="B150" s="26" t="str">
        <x:v>POWERTRAIN</x:v>
      </x:c>
      <x:c r="C150" s="26" t="str">
        <x:v>PWR-000022</x:v>
      </x:c>
      <x:c r="D150" s="26" t="str">
        <x:v>dc_charge_time_min</x:v>
      </x:c>
      <x:c r="E150" s="26" t="str">
        <x:v>NUMBER</x:v>
      </x:c>
      <x:c r="F150" s="26" t="n">
        <x:v>26</x:v>
      </x:c>
      <x:c r="G150" s="26" t="str">
        <x:v>min</x:v>
      </x:c>
      <x:c r="H150" s="26" t="str">
        <x:v>VERIFIED</x:v>
      </x:c>
      <x:c r="I150" s="26" t="str">
        <x:v>DC 105 kW</x:v>
      </x:c>
      <x:c r="J150" s="26" t="n">
        <x:v>2026</x:v>
      </x:c>
      <x:c r="K150" s="26" t="n">
        <x:v>2026</x:v>
      </x:c>
      <x:c r="L150" s="26" t="str">
        <x:v>TR</x:v>
      </x:c>
      <x:c r="M150" s="26" t="str"/>
      <x:c r="N150" s="26" t="str"/>
      <x:c r="O150" s="26" t="str"/>
      <x:c r="P150" s="26" t="str">
        <x:v>NONE</x:v>
      </x:c>
      <x:c r="Q150" s="26" t="str">
        <x:v>EXACT_SCALAR</x:v>
      </x:c>
      <x:c r="R150" s="26" t="str">
        <x:v>26 min / 105 kW, 10%-80%</x:v>
      </x:c>
      <x:c r="S150" s="26" t="n">
        <x:v>10</x:v>
      </x:c>
      <x:c r="T150" s="26" t="n">
        <x:v>80</x:v>
      </x:c>
      <x:c r="U150" s="26" t="n">
        <x:v>105</x:v>
      </x:c>
      <x:c r="V150" s="26"/>
      <x:c r="W150" s="26"/>
      <x:c r="X150" s="26"/>
      <x:c r="Y150" s="26"/>
      <x:c r="Z150" s="26"/>
    </x:row>
    <x:row r="151">
      <x:c r="A151" s="26" t="str">
        <x:v>FAC-000150</x:v>
      </x:c>
      <x:c r="B151" s="26" t="str">
        <x:v>POWERTRAIN</x:v>
      </x:c>
      <x:c r="C151" s="26" t="str">
        <x:v>PWR-000023</x:v>
      </x:c>
      <x:c r="D151" s="26" t="str">
        <x:v>engine_displacement_cc</x:v>
      </x:c>
      <x:c r="E151" s="26" t="str">
        <x:v>NUMBER</x:v>
      </x:c>
      <x:c r="F151" s="26" t="n">
        <x:v>1498</x:v>
      </x:c>
      <x:c r="G151" s="26" t="str">
        <x:v>cc</x:v>
      </x:c>
      <x:c r="H151" s="26" t="str">
        <x:v>VERIFIED</x:v>
      </x:c>
      <x:c r="I151" s="26" t="str"/>
      <x:c r="J151" s="26" t="n">
        <x:v>2026</x:v>
      </x:c>
      <x:c r="K151" s="26" t="n">
        <x:v>2026</x:v>
      </x:c>
      <x:c r="L151" s="26" t="str">
        <x:v>TR</x:v>
      </x:c>
      <x:c r="M151" s="26" t="str"/>
      <x:c r="N151" s="26" t="str"/>
      <x:c r="O151" s="26" t="str"/>
      <x:c r="P151" s="26" t="str">
        <x:v>NONE</x:v>
      </x:c>
      <x:c r="Q151" s="26" t="str">
        <x:v>EXACT_SCALAR</x:v>
      </x:c>
      <x:c r="R151" s="26" t="n">
        <x:v>1498</x:v>
      </x:c>
      <x:c r="S151" s="26" t="str"/>
      <x:c r="T151" s="26" t="str"/>
      <x:c r="U151" s="26" t="str"/>
      <x:c r="V151" s="26"/>
      <x:c r="W151" s="26"/>
      <x:c r="X151" s="26"/>
      <x:c r="Y151" s="26"/>
      <x:c r="Z151" s="26"/>
    </x:row>
    <x:row r="152">
      <x:c r="A152" s="26" t="str">
        <x:v>FAC-000151</x:v>
      </x:c>
      <x:c r="B152" s="26" t="str">
        <x:v>POWERTRAIN</x:v>
      </x:c>
      <x:c r="C152" s="26" t="str">
        <x:v>PWR-000023</x:v>
      </x:c>
      <x:c r="D152" s="26" t="str">
        <x:v>power_kw</x:v>
      </x:c>
      <x:c r="E152" s="26" t="str">
        <x:v>NUMBER</x:v>
      </x:c>
      <x:c r="F152" s="26" t="n">
        <x:v>110</x:v>
      </x:c>
      <x:c r="G152" s="26" t="str">
        <x:v>kW</x:v>
      </x:c>
      <x:c r="H152" s="26" t="str">
        <x:v>VERIFIED</x:v>
      </x:c>
      <x:c r="I152" s="26" t="str"/>
      <x:c r="J152" s="26" t="n">
        <x:v>2026</x:v>
      </x:c>
      <x:c r="K152" s="26" t="n">
        <x:v>2026</x:v>
      </x:c>
      <x:c r="L152" s="26" t="str">
        <x:v>TR</x:v>
      </x:c>
      <x:c r="M152" s="26" t="str"/>
      <x:c r="N152" s="26" t="str"/>
      <x:c r="O152" s="26" t="str"/>
      <x:c r="P152" s="26" t="str">
        <x:v>NONE</x:v>
      </x:c>
      <x:c r="Q152" s="26" t="str">
        <x:v>EXACT_SCALAR</x:v>
      </x:c>
      <x:c r="R152" s="26" t="n">
        <x:v>110</x:v>
      </x:c>
      <x:c r="S152" s="26" t="str"/>
      <x:c r="T152" s="26" t="str"/>
      <x:c r="U152" s="26" t="str"/>
      <x:c r="V152" s="26"/>
      <x:c r="W152" s="26"/>
      <x:c r="X152" s="26"/>
      <x:c r="Y152" s="26"/>
      <x:c r="Z152" s="26"/>
    </x:row>
    <x:row r="153">
      <x:c r="A153" s="26" t="str">
        <x:v>FAC-000152</x:v>
      </x:c>
      <x:c r="B153" s="26" t="str">
        <x:v>POWERTRAIN</x:v>
      </x:c>
      <x:c r="C153" s="26" t="str">
        <x:v>PWR-000023</x:v>
      </x:c>
      <x:c r="D153" s="26" t="str">
        <x:v>torque_nm</x:v>
      </x:c>
      <x:c r="E153" s="26" t="str">
        <x:v>NUMBER</x:v>
      </x:c>
      <x:c r="F153" s="26" t="n">
        <x:v>250</x:v>
      </x:c>
      <x:c r="G153" s="26" t="str">
        <x:v>Nm</x:v>
      </x:c>
      <x:c r="H153" s="26" t="str">
        <x:v>VERIFIED</x:v>
      </x:c>
      <x:c r="I153" s="26" t="str"/>
      <x:c r="J153" s="26" t="n">
        <x:v>2026</x:v>
      </x:c>
      <x:c r="K153" s="26" t="n">
        <x:v>2026</x:v>
      </x:c>
      <x:c r="L153" s="26" t="str">
        <x:v>TR</x:v>
      </x:c>
      <x:c r="M153" s="26" t="str"/>
      <x:c r="N153" s="26" t="str"/>
      <x:c r="O153" s="26" t="str"/>
      <x:c r="P153" s="26" t="str">
        <x:v>NONE</x:v>
      </x:c>
      <x:c r="Q153" s="26" t="str">
        <x:v>EXACT_SCALAR</x:v>
      </x:c>
      <x:c r="R153" s="26" t="n">
        <x:v>250</x:v>
      </x:c>
      <x:c r="S153" s="26" t="str"/>
      <x:c r="T153" s="26" t="str"/>
      <x:c r="U153" s="26" t="str"/>
      <x:c r="V153" s="26"/>
      <x:c r="W153" s="26"/>
      <x:c r="X153" s="26"/>
      <x:c r="Y153" s="26"/>
      <x:c r="Z153" s="26"/>
    </x:row>
    <x:row r="154">
      <x:c r="A154" s="26" t="str">
        <x:v>FAC-000153</x:v>
      </x:c>
      <x:c r="B154" s="26" t="str">
        <x:v>POWERTRAIN</x:v>
      </x:c>
      <x:c r="C154" s="26" t="str">
        <x:v>PWR-000024</x:v>
      </x:c>
      <x:c r="D154" s="26" t="str">
        <x:v>engine_displacement_cc</x:v>
      </x:c>
      <x:c r="E154" s="26" t="str">
        <x:v>NUMBER</x:v>
      </x:c>
      <x:c r="F154" s="26" t="n">
        <x:v>1995</x:v>
      </x:c>
      <x:c r="G154" s="26" t="str">
        <x:v>cc</x:v>
      </x:c>
      <x:c r="H154" s="26" t="str">
        <x:v>VERIFIED</x:v>
      </x:c>
      <x:c r="I154" s="26" t="str"/>
      <x:c r="J154" s="26" t="n">
        <x:v>2026</x:v>
      </x:c>
      <x:c r="K154" s="26" t="n">
        <x:v>2026</x:v>
      </x:c>
      <x:c r="L154" s="26" t="str">
        <x:v>TR</x:v>
      </x:c>
      <x:c r="M154" s="26" t="str"/>
      <x:c r="N154" s="26" t="str"/>
      <x:c r="O154" s="26" t="str"/>
      <x:c r="P154" s="26" t="str">
        <x:v>NONE</x:v>
      </x:c>
      <x:c r="Q154" s="26" t="str">
        <x:v>EXACT_SCALAR</x:v>
      </x:c>
      <x:c r="R154" s="26" t="n">
        <x:v>1995</x:v>
      </x:c>
      <x:c r="S154" s="26" t="str"/>
      <x:c r="T154" s="26" t="str"/>
      <x:c r="U154" s="26" t="str"/>
      <x:c r="V154" s="26"/>
      <x:c r="W154" s="26"/>
      <x:c r="X154" s="26"/>
      <x:c r="Y154" s="26"/>
      <x:c r="Z154" s="26"/>
    </x:row>
    <x:row r="155">
      <x:c r="A155" s="26" t="str">
        <x:v>FAC-000154</x:v>
      </x:c>
      <x:c r="B155" s="26" t="str">
        <x:v>POWERTRAIN</x:v>
      </x:c>
      <x:c r="C155" s="26" t="str">
        <x:v>PWR-000025</x:v>
      </x:c>
      <x:c r="D155" s="26" t="str">
        <x:v>engine_displacement_cc</x:v>
      </x:c>
      <x:c r="E155" s="26" t="str">
        <x:v>NUMBER</x:v>
      </x:c>
      <x:c r="F155" s="26" t="n">
        <x:v>999</x:v>
      </x:c>
      <x:c r="G155" s="26" t="str">
        <x:v>cc</x:v>
      </x:c>
      <x:c r="H155" s="26" t="str">
        <x:v>VERIFIED</x:v>
      </x:c>
      <x:c r="I155" s="26" t="str"/>
      <x:c r="J155" s="26" t="n">
        <x:v>2026</x:v>
      </x:c>
      <x:c r="K155" s="26" t="n">
        <x:v>2026</x:v>
      </x:c>
      <x:c r="L155" s="26" t="str">
        <x:v>TR</x:v>
      </x:c>
      <x:c r="M155" s="26" t="str"/>
      <x:c r="N155" s="26" t="str"/>
      <x:c r="O155" s="26" t="str"/>
      <x:c r="P155" s="26" t="str">
        <x:v>NONE</x:v>
      </x:c>
      <x:c r="Q155" s="26" t="str">
        <x:v>EXACT_SCALAR</x:v>
      </x:c>
      <x:c r="R155" s="26" t="n">
        <x:v>999</x:v>
      </x:c>
      <x:c r="S155" s="26" t="str"/>
      <x:c r="T155" s="26" t="str"/>
      <x:c r="U155" s="26" t="str"/>
      <x:c r="V155" s="26"/>
      <x:c r="W155" s="26"/>
      <x:c r="X155" s="26"/>
      <x:c r="Y155" s="26"/>
      <x:c r="Z155" s="26"/>
    </x:row>
    <x:row r="156">
      <x:c r="A156" s="26" t="str">
        <x:v>FAC-000155</x:v>
      </x:c>
      <x:c r="B156" s="26" t="str">
        <x:v>POWERTRAIN</x:v>
      </x:c>
      <x:c r="C156" s="26" t="str">
        <x:v>PWR-000025</x:v>
      </x:c>
      <x:c r="D156" s="26" t="str">
        <x:v>power_kw</x:v>
      </x:c>
      <x:c r="E156" s="26" t="str">
        <x:v>NUMBER</x:v>
      </x:c>
      <x:c r="F156" s="26" t="n">
        <x:v>85</x:v>
      </x:c>
      <x:c r="G156" s="26" t="str">
        <x:v>kW</x:v>
      </x:c>
      <x:c r="H156" s="26" t="str">
        <x:v>VERIFIED</x:v>
      </x:c>
      <x:c r="I156" s="26" t="str"/>
      <x:c r="J156" s="26" t="n">
        <x:v>2026</x:v>
      </x:c>
      <x:c r="K156" s="26" t="n">
        <x:v>2026</x:v>
      </x:c>
      <x:c r="L156" s="26" t="str">
        <x:v>TR</x:v>
      </x:c>
      <x:c r="M156" s="26" t="str"/>
      <x:c r="N156" s="26" t="str"/>
      <x:c r="O156" s="26" t="str"/>
      <x:c r="P156" s="26" t="str">
        <x:v>NONE</x:v>
      </x:c>
      <x:c r="Q156" s="26" t="str">
        <x:v>EXACT_SCALAR</x:v>
      </x:c>
      <x:c r="R156" s="26" t="n">
        <x:v>85</x:v>
      </x:c>
      <x:c r="S156" s="26" t="str"/>
      <x:c r="T156" s="26" t="str"/>
      <x:c r="U156" s="26" t="str"/>
      <x:c r="V156" s="26"/>
      <x:c r="W156" s="26"/>
      <x:c r="X156" s="26"/>
      <x:c r="Y156" s="26"/>
      <x:c r="Z156" s="26"/>
    </x:row>
    <x:row r="157">
      <x:c r="A157" s="26" t="str">
        <x:v>FAC-000156</x:v>
      </x:c>
      <x:c r="B157" s="26" t="str">
        <x:v>POWERTRAIN</x:v>
      </x:c>
      <x:c r="C157" s="26" t="str">
        <x:v>PWR-000025</x:v>
      </x:c>
      <x:c r="D157" s="26" t="str">
        <x:v>torque_nm</x:v>
      </x:c>
      <x:c r="E157" s="26" t="str">
        <x:v>NUMBER</x:v>
      </x:c>
      <x:c r="F157" s="26" t="n">
        <x:v>200</x:v>
      </x:c>
      <x:c r="G157" s="26" t="str">
        <x:v>Nm</x:v>
      </x:c>
      <x:c r="H157" s="26" t="str">
        <x:v>VERIFIED</x:v>
      </x:c>
      <x:c r="I157" s="26" t="str"/>
      <x:c r="J157" s="26" t="n">
        <x:v>2026</x:v>
      </x:c>
      <x:c r="K157" s="26" t="n">
        <x:v>2026</x:v>
      </x:c>
      <x:c r="L157" s="26" t="str">
        <x:v>TR</x:v>
      </x:c>
      <x:c r="M157" s="26" t="str"/>
      <x:c r="N157" s="26" t="str"/>
      <x:c r="O157" s="26" t="str"/>
      <x:c r="P157" s="26" t="str">
        <x:v>NONE</x:v>
      </x:c>
      <x:c r="Q157" s="26" t="str">
        <x:v>EXACT_SCALAR</x:v>
      </x:c>
      <x:c r="R157" s="26" t="n">
        <x:v>200</x:v>
      </x:c>
      <x:c r="S157" s="26" t="str"/>
      <x:c r="T157" s="26" t="str"/>
      <x:c r="U157" s="26" t="str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2">
      <x:c r="A502" s="32"/>
      <x:c r="B502" s="32"/>
      <x:c r="C502" s="32"/>
      <x:c r="D502" s="32"/>
      <x:c r="E502" s="32"/>
      <x:c r="F502" s="32"/>
    </x:row>
    <x:row r="503">
      <x:c r="A503" s="32"/>
      <x:c r="B503" s="32"/>
      <x:c r="C503" s="32"/>
      <x:c r="D503" s="32"/>
      <x:c r="E503" s="32"/>
      <x:c r="F503" s="32"/>
    </x:row>
  </x:sheetData>
  <x:dataValidations count="6">
    <x:dataValidation type="list" sqref="B2:B500">
      <x:formula1>'12_LISTS'!$B$69:$B$72</x:formula1>
    </x:dataValidation>
    <x:dataValidation type="list" sqref="E2:E500">
      <x:formula1>'12_LISTS'!$B$73:$B$77</x:formula1>
    </x:dataValidation>
    <x:dataValidation type="list" sqref="H2:H500">
      <x:formula1>'12_LISTS'!$B$78:$B$83</x:formula1>
    </x:dataValidation>
    <x:dataValidation type="list" sqref="L2:L500">
      <x:formula1>'12_LISTS'!$B$59:$B$59</x:formula1>
    </x:dataValidation>
    <x:dataValidation type="list" sqref="P2:P500">
      <x:formula1>'12_LISTS'!$B$172:$B$174</x:formula1>
    </x:dataValidation>
    <x:dataValidation type="list" sqref="Q2:Q500">
      <x:formula1>'12_LISTS'!$B$175:$B$179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aedcc8198d4b6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0" hidden="0" customWidth="1"/>
    <x:col min="5" max="5" width="20" hidden="0" customWidth="1"/>
    <x:col min="6" max="6" width="40" hidden="0" customWidth="1"/>
  </x:cols>
  <x:sheetData>
    <x:row r="1">
      <x:c r="A1" s="6" t="str">
        <x:v>equipment_id</x:v>
      </x:c>
      <x:c r="B1" s="6" t="str">
        <x:v>configuration_id</x:v>
      </x:c>
      <x:c r="C1" s="6" t="str">
        <x:v>equipment_key</x:v>
      </x:c>
      <x:c r="D1" s="6" t="str">
        <x:v>availability</x:v>
      </x:c>
      <x:c r="E1" s="6" t="str">
        <x:v>evidence_state</x:v>
      </x:c>
      <x:c r="F1" s="6" t="str">
        <x:v>notes</x:v>
      </x:c>
    </x:row>
    <x:row r="2">
      <x:c r="A2" s="26" t="str">
        <x:v>EQP-000001</x:v>
      </x:c>
      <x:c r="B2" s="26" t="str">
        <x:v>CFG-000001</x:v>
      </x:c>
      <x:c r="C2" s="26" t="str">
        <x:v>aeb</x:v>
      </x:c>
      <x:c r="D2" s="26" t="str">
        <x:v>STANDARD</x:v>
      </x:c>
      <x:c r="E2" s="26" t="str">
        <x:v>VERIFIED</x:v>
      </x:c>
      <x:c r="F2" s="26" t="str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EQP-000002</x:v>
      </x:c>
      <x:c r="B3" s="26" t="str">
        <x:v>CFG-000001</x:v>
      </x:c>
      <x:c r="C3" s="26" t="str">
        <x:v>adaptive_cruise_control</x:v>
      </x:c>
      <x:c r="D3" s="26" t="str">
        <x:v>STANDARD</x:v>
      </x:c>
      <x:c r="E3" s="26" t="str">
        <x:v>VERIFIED</x:v>
      </x:c>
      <x:c r="F3" s="26" t="str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EQP-000003</x:v>
      </x:c>
      <x:c r="B4" s="26" t="str">
        <x:v>CFG-000001</x:v>
      </x:c>
      <x:c r="C4" s="26" t="str">
        <x:v>lane_keep_assist</x:v>
      </x:c>
      <x:c r="D4" s="26" t="str">
        <x:v>STANDARD</x:v>
      </x:c>
      <x:c r="E4" s="26" t="str">
        <x:v>VERIFIED</x:v>
      </x:c>
      <x:c r="F4" s="26" t="str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EQP-000004</x:v>
      </x:c>
      <x:c r="B5" s="26" t="str">
        <x:v>CFG-000001</x:v>
      </x:c>
      <x:c r="C5" s="26" t="str">
        <x:v>isofix_rear</x:v>
      </x:c>
      <x:c r="D5" s="26" t="str">
        <x:v>STANDARD</x:v>
      </x:c>
      <x:c r="E5" s="26" t="str">
        <x:v>VERIFIED</x:v>
      </x:c>
      <x:c r="F5" s="26" t="str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EQP-000005</x:v>
      </x:c>
      <x:c r="B6" s="26" t="str">
        <x:v>CFG-000001</x:v>
      </x:c>
      <x:c r="C6" s="26" t="str">
        <x:v>parking_sensors_rear</x:v>
      </x:c>
      <x:c r="D6" s="26" t="str">
        <x:v>STANDARD</x:v>
      </x:c>
      <x:c r="E6" s="26" t="str">
        <x:v>VERIFIED</x:v>
      </x:c>
      <x:c r="F6" s="26" t="str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EQP-000006</x:v>
      </x:c>
      <x:c r="B7" s="26" t="str">
        <x:v>CFG-000001</x:v>
      </x:c>
      <x:c r="C7" s="26" t="str">
        <x:v>reversing_camera</x:v>
      </x:c>
      <x:c r="D7" s="26" t="str">
        <x:v>STANDARD</x:v>
      </x:c>
      <x:c r="E7" s="26" t="str">
        <x:v>VERIFIED</x:v>
      </x:c>
      <x:c r="F7" s="26" t="str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EQP-000007</x:v>
      </x:c>
      <x:c r="B8" s="26" t="str">
        <x:v>CFG-000001</x:v>
      </x:c>
      <x:c r="C8" s="26" t="str">
        <x:v>keyless_entry</x:v>
      </x:c>
      <x:c r="D8" s="26" t="str">
        <x:v>STANDARD</x:v>
      </x:c>
      <x:c r="E8" s="26" t="str">
        <x:v>VERIFIED</x:v>
      </x:c>
      <x:c r="F8" s="26" t="str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EQP-000008</x:v>
      </x:c>
      <x:c r="B9" s="26" t="str">
        <x:v>CFG-000001</x:v>
      </x:c>
      <x:c r="C9" s="26" t="str">
        <x:v>apple_carplay</x:v>
      </x:c>
      <x:c r="D9" s="26" t="str">
        <x:v>UNKNOWN</x:v>
      </x:c>
      <x:c r="E9" s="26" t="str">
        <x:v>UNKNOWN</x:v>
      </x:c>
      <x:c r="F9" s="26" t="str">
        <x:v>Not explicitly resolved in this pass.</x:v>
      </x:c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EQP-000009</x:v>
      </x:c>
      <x:c r="B10" s="26" t="str">
        <x:v>CFG-000001</x:v>
      </x:c>
      <x:c r="C10" s="26" t="str">
        <x:v>android_auto</x:v>
      </x:c>
      <x:c r="D10" s="26" t="str">
        <x:v>UNKNOWN</x:v>
      </x:c>
      <x:c r="E10" s="26" t="str">
        <x:v>UNKNOWN</x:v>
      </x:c>
      <x:c r="F10" s="26" t="str">
        <x:v>Not explicitly resolved in this pass.</x:v>
      </x:c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EQP-000010</x:v>
      </x:c>
      <x:c r="B11" s="26" t="str">
        <x:v>CFG-000001</x:v>
      </x:c>
      <x:c r="C11" s="26" t="str">
        <x:v>blind_spot_monitor</x:v>
      </x:c>
      <x:c r="D11" s="26" t="str">
        <x:v>UNKNOWN</x:v>
      </x:c>
      <x:c r="E11" s="26" t="str">
        <x:v>UNKNOWN</x:v>
      </x:c>
      <x:c r="F11" s="26" t="str">
        <x:v>Not explicitly resolved in this pass.</x:v>
      </x:c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EQP-000011</x:v>
      </x:c>
      <x:c r="B12" s="26" t="str">
        <x:v>CFG-000001</x:v>
      </x:c>
      <x:c r="C12" s="26" t="str">
        <x:v>camera_360</x:v>
      </x:c>
      <x:c r="D12" s="26" t="str">
        <x:v>UNKNOWN</x:v>
      </x:c>
      <x:c r="E12" s="26" t="str">
        <x:v>UNKNOWN</x:v>
      </x:c>
      <x:c r="F12" s="26" t="str">
        <x:v>Not explicitly resolved in this pass.</x:v>
      </x:c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EQP-000012</x:v>
      </x:c>
      <x:c r="B13" s="26" t="str">
        <x:v>CFG-000001</x:v>
      </x:c>
      <x:c r="C13" s="26" t="str">
        <x:v>parking_sensors_front</x:v>
      </x:c>
      <x:c r="D13" s="26" t="str">
        <x:v>UNKNOWN</x:v>
      </x:c>
      <x:c r="E13" s="26" t="str">
        <x:v>UNKNOWN</x:v>
      </x:c>
      <x:c r="F13" s="26" t="str">
        <x:v>Not explicitly resolved in this pass.</x:v>
      </x:c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EQP-000013</x:v>
      </x:c>
      <x:c r="B14" s="26" t="str">
        <x:v>CFG-000002</x:v>
      </x:c>
      <x:c r="C14" s="26" t="str">
        <x:v>aeb</x:v>
      </x:c>
      <x:c r="D14" s="26" t="str">
        <x:v>STANDARD</x:v>
      </x:c>
      <x:c r="E14" s="26" t="str">
        <x:v>VERIFIED</x:v>
      </x:c>
      <x:c r="F14" s="26" t="str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EQP-000014</x:v>
      </x:c>
      <x:c r="B15" s="26" t="str">
        <x:v>CFG-000002</x:v>
      </x:c>
      <x:c r="C15" s="26" t="str">
        <x:v>lane_keep_assist</x:v>
      </x:c>
      <x:c r="D15" s="26" t="str">
        <x:v>STANDARD</x:v>
      </x:c>
      <x:c r="E15" s="26" t="str">
        <x:v>VERIFIED</x:v>
      </x:c>
      <x:c r="F15" s="26" t="str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EQP-000015</x:v>
      </x:c>
      <x:c r="B16" s="26" t="str">
        <x:v>CFG-000002</x:v>
      </x:c>
      <x:c r="C16" s="26" t="str">
        <x:v>parking_sensors_rear</x:v>
      </x:c>
      <x:c r="D16" s="26" t="str">
        <x:v>STANDARD</x:v>
      </x:c>
      <x:c r="E16" s="26" t="str">
        <x:v>VERIFIED</x:v>
      </x:c>
      <x:c r="F16" s="26" t="str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EQP-000016</x:v>
      </x:c>
      <x:c r="B17" s="26" t="str">
        <x:v>CFG-000002</x:v>
      </x:c>
      <x:c r="C17" s="26" t="str">
        <x:v>reversing_camera</x:v>
      </x:c>
      <x:c r="D17" s="26" t="str">
        <x:v>STANDARD</x:v>
      </x:c>
      <x:c r="E17" s="26" t="str">
        <x:v>VERIFIED</x:v>
      </x:c>
      <x:c r="F17" s="26" t="str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EQP-000017</x:v>
      </x:c>
      <x:c r="B18" s="26" t="str">
        <x:v>CFG-000002</x:v>
      </x:c>
      <x:c r="C18" s="26" t="str">
        <x:v>adaptive_cruise_control</x:v>
      </x:c>
      <x:c r="D18" s="26" t="str">
        <x:v>UNKNOWN</x:v>
      </x:c>
      <x:c r="E18" s="26" t="str">
        <x:v>UNKNOWN</x:v>
      </x:c>
      <x:c r="F18" s="26" t="str">
        <x:v>Unlisted on Easy is not proof of NOT_AVAILABLE.</x:v>
      </x:c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EQP-000018</x:v>
      </x:c>
      <x:c r="B19" s="26" t="str">
        <x:v>CFG-000002</x:v>
      </x:c>
      <x:c r="C19" s="26" t="str">
        <x:v>blind_spot_monitor</x:v>
      </x:c>
      <x:c r="D19" s="26" t="str">
        <x:v>UNKNOWN</x:v>
      </x:c>
      <x:c r="E19" s="26" t="str">
        <x:v>UNKNOWN</x:v>
      </x:c>
      <x:c r="F19" s="26" t="str">
        <x:v>Unlisted on Easy is not proof of NOT_AVAILABLE.</x:v>
      </x:c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EQP-000019</x:v>
      </x:c>
      <x:c r="B20" s="26" t="str">
        <x:v>CFG-000002</x:v>
      </x:c>
      <x:c r="C20" s="26" t="str">
        <x:v>camera_360</x:v>
      </x:c>
      <x:c r="D20" s="26" t="str">
        <x:v>UNKNOWN</x:v>
      </x:c>
      <x:c r="E20" s="26" t="str">
        <x:v>UNKNOWN</x:v>
      </x:c>
      <x:c r="F20" s="26" t="str">
        <x:v>Unlisted on Easy is not proof of NOT_AVAILABLE.</x:v>
      </x:c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EQP-000020</x:v>
      </x:c>
      <x:c r="B21" s="26" t="str">
        <x:v>CFG-000002</x:v>
      </x:c>
      <x:c r="C21" s="26" t="str">
        <x:v>apple_carplay</x:v>
      </x:c>
      <x:c r="D21" s="26" t="str">
        <x:v>UNKNOWN</x:v>
      </x:c>
      <x:c r="E21" s="26" t="str">
        <x:v>UNKNOWN</x:v>
      </x:c>
      <x:c r="F21" s="26" t="str">
        <x:v>Unlisted on Easy is not proof of NOT_AVAILABLE.</x:v>
      </x:c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EQP-000021</x:v>
      </x:c>
      <x:c r="B22" s="26" t="str">
        <x:v>CFG-000002</x:v>
      </x:c>
      <x:c r="C22" s="26" t="str">
        <x:v>android_auto</x:v>
      </x:c>
      <x:c r="D22" s="26" t="str">
        <x:v>UNKNOWN</x:v>
      </x:c>
      <x:c r="E22" s="26" t="str">
        <x:v>UNKNOWN</x:v>
      </x:c>
      <x:c r="F22" s="26" t="str">
        <x:v>Unlisted on Easy is not proof of NOT_AVAILABLE.</x:v>
      </x:c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EQP-000022</x:v>
      </x:c>
      <x:c r="B23" s="26" t="str">
        <x:v>CFG-000003</x:v>
      </x:c>
      <x:c r="C23" s="26" t="str">
        <x:v>aeb</x:v>
      </x:c>
      <x:c r="D23" s="26" t="str">
        <x:v>STANDARD</x:v>
      </x:c>
      <x:c r="E23" s="26" t="str">
        <x:v>VERIFIED</x:v>
      </x:c>
      <x:c r="F23" s="26" t="str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EQP-000023</x:v>
      </x:c>
      <x:c r="B24" s="26" t="str">
        <x:v>CFG-000003</x:v>
      </x:c>
      <x:c r="C24" s="26" t="str">
        <x:v>adaptive_cruise_control</x:v>
      </x:c>
      <x:c r="D24" s="26" t="str">
        <x:v>STANDARD</x:v>
      </x:c>
      <x:c r="E24" s="26" t="str">
        <x:v>VERIFIED</x:v>
      </x:c>
      <x:c r="F24" s="26" t="str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EQP-000024</x:v>
      </x:c>
      <x:c r="B25" s="26" t="str">
        <x:v>CFG-000003</x:v>
      </x:c>
      <x:c r="C25" s="26" t="str">
        <x:v>lane_keep_assist</x:v>
      </x:c>
      <x:c r="D25" s="26" t="str">
        <x:v>STANDARD</x:v>
      </x:c>
      <x:c r="E25" s="26" t="str">
        <x:v>VERIFIED</x:v>
      </x:c>
      <x:c r="F25" s="26" t="str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EQP-000025</x:v>
      </x:c>
      <x:c r="B26" s="26" t="str">
        <x:v>CFG-000003</x:v>
      </x:c>
      <x:c r="C26" s="26" t="str">
        <x:v>blind_spot_monitor</x:v>
      </x:c>
      <x:c r="D26" s="26" t="str">
        <x:v>UNKNOWN</x:v>
      </x:c>
      <x:c r="E26" s="26" t="str">
        <x:v>UNKNOWN</x:v>
      </x:c>
      <x:c r="F26" s="26" t="str">
        <x:v>Not resolved in this pass.</x:v>
      </x:c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EQP-000026</x:v>
      </x:c>
      <x:c r="B27" s="26" t="str">
        <x:v>CFG-000003</x:v>
      </x:c>
      <x:c r="C27" s="26" t="str">
        <x:v>rear_cross_traffic_alert</x:v>
      </x:c>
      <x:c r="D27" s="26" t="str">
        <x:v>UNKNOWN</x:v>
      </x:c>
      <x:c r="E27" s="26" t="str">
        <x:v>UNKNOWN</x:v>
      </x:c>
      <x:c r="F27" s="26" t="str">
        <x:v>Not resolved in this pass.</x:v>
      </x:c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EQP-000027</x:v>
      </x:c>
      <x:c r="B28" s="26" t="str">
        <x:v>CFG-000003</x:v>
      </x:c>
      <x:c r="C28" s="26" t="str">
        <x:v>isofix_rear</x:v>
      </x:c>
      <x:c r="D28" s="26" t="str">
        <x:v>UNKNOWN</x:v>
      </x:c>
      <x:c r="E28" s="26" t="str">
        <x:v>UNKNOWN</x:v>
      </x:c>
      <x:c r="F28" s="26" t="str">
        <x:v>Not resolved in this pass.</x:v>
      </x:c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EQP-000028</x:v>
      </x:c>
      <x:c r="B29" s="26" t="str">
        <x:v>CFG-000003</x:v>
      </x:c>
      <x:c r="C29" s="26" t="str">
        <x:v>parking_sensors_rear</x:v>
      </x:c>
      <x:c r="D29" s="26" t="str">
        <x:v>UNKNOWN</x:v>
      </x:c>
      <x:c r="E29" s="26" t="str">
        <x:v>UNKNOWN</x:v>
      </x:c>
      <x:c r="F29" s="26" t="str">
        <x:v>Not resolved in this pass.</x:v>
      </x:c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EQP-000029</x:v>
      </x:c>
      <x:c r="B30" s="26" t="str">
        <x:v>CFG-000003</x:v>
      </x:c>
      <x:c r="C30" s="26" t="str">
        <x:v>reversing_camera</x:v>
      </x:c>
      <x:c r="D30" s="26" t="str">
        <x:v>UNKNOWN</x:v>
      </x:c>
      <x:c r="E30" s="26" t="str">
        <x:v>UNKNOWN</x:v>
      </x:c>
      <x:c r="F30" s="26" t="str">
        <x:v>Not resolved in this pass.</x:v>
      </x:c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EQP-000030</x:v>
      </x:c>
      <x:c r="B31" s="26" t="str">
        <x:v>CFG-000003</x:v>
      </x:c>
      <x:c r="C31" s="26" t="str">
        <x:v>camera_360</x:v>
      </x:c>
      <x:c r="D31" s="26" t="str">
        <x:v>UNKNOWN</x:v>
      </x:c>
      <x:c r="E31" s="26" t="str">
        <x:v>UNKNOWN</x:v>
      </x:c>
      <x:c r="F31" s="26" t="str">
        <x:v>Not resolved in this pass.</x:v>
      </x:c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EQP-000031</x:v>
      </x:c>
      <x:c r="B32" s="26" t="str">
        <x:v>CFG-000004</x:v>
      </x:c>
      <x:c r="C32" s="26" t="str">
        <x:v>aeb</x:v>
      </x:c>
      <x:c r="D32" s="26" t="str">
        <x:v>STANDARD</x:v>
      </x:c>
      <x:c r="E32" s="26" t="str">
        <x:v>VERIFIED</x:v>
      </x:c>
      <x:c r="F32" s="26" t="str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EQP-000032</x:v>
      </x:c>
      <x:c r="B33" s="26" t="str">
        <x:v>CFG-000004</x:v>
      </x:c>
      <x:c r="C33" s="26" t="str">
        <x:v>lane_departure_warning</x:v>
      </x:c>
      <x:c r="D33" s="26" t="str">
        <x:v>STANDARD</x:v>
      </x:c>
      <x:c r="E33" s="26" t="str">
        <x:v>VERIFIED</x:v>
      </x:c>
      <x:c r="F33" s="26" t="str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 t="str">
        <x:v>EQP-000033</x:v>
      </x:c>
      <x:c r="B34" s="26" t="str">
        <x:v>CFG-000004</x:v>
      </x:c>
      <x:c r="C34" s="26" t="str">
        <x:v>blind_spot_monitor</x:v>
      </x:c>
      <x:c r="D34" s="26" t="str">
        <x:v>STANDARD</x:v>
      </x:c>
      <x:c r="E34" s="26" t="str">
        <x:v>VERIFIED</x:v>
      </x:c>
      <x:c r="F34" s="26" t="str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 t="str">
        <x:v>EQP-000034</x:v>
      </x:c>
      <x:c r="B35" s="26" t="str">
        <x:v>CFG-000004</x:v>
      </x:c>
      <x:c r="C35" s="26" t="str">
        <x:v>rear_cross_traffic_alert</x:v>
      </x:c>
      <x:c r="D35" s="26" t="str">
        <x:v>STANDARD</x:v>
      </x:c>
      <x:c r="E35" s="26" t="str">
        <x:v>VERIFIED</x:v>
      </x:c>
      <x:c r="F35" s="26" t="str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 t="str">
        <x:v>EQP-000035</x:v>
      </x:c>
      <x:c r="B36" s="26" t="str">
        <x:v>CFG-000004</x:v>
      </x:c>
      <x:c r="C36" s="26" t="str">
        <x:v>parking_sensors_rear</x:v>
      </x:c>
      <x:c r="D36" s="26" t="str">
        <x:v>STANDARD</x:v>
      </x:c>
      <x:c r="E36" s="26" t="str">
        <x:v>VERIFIED</x:v>
      </x:c>
      <x:c r="F36" s="26" t="str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 t="str">
        <x:v>EQP-000036</x:v>
      </x:c>
      <x:c r="B37" s="26" t="str">
        <x:v>CFG-000004</x:v>
      </x:c>
      <x:c r="C37" s="26" t="str">
        <x:v>reversing_camera</x:v>
      </x:c>
      <x:c r="D37" s="26" t="str">
        <x:v>STANDARD</x:v>
      </x:c>
      <x:c r="E37" s="26" t="str">
        <x:v>VERIFIED</x:v>
      </x:c>
      <x:c r="F37" s="26" t="str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 t="str">
        <x:v>EQP-000037</x:v>
      </x:c>
      <x:c r="B38" s="26" t="str">
        <x:v>CFG-000004</x:v>
      </x:c>
      <x:c r="C38" s="26" t="str">
        <x:v>automatic_climate_control</x:v>
      </x:c>
      <x:c r="D38" s="26" t="str">
        <x:v>STANDARD</x:v>
      </x:c>
      <x:c r="E38" s="26" t="str">
        <x:v>VERIFIED</x:v>
      </x:c>
      <x:c r="F38" s="26" t="str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 t="str">
        <x:v>EQP-000038</x:v>
      </x:c>
      <x:c r="B39" s="26" t="str">
        <x:v>CFG-000004</x:v>
      </x:c>
      <x:c r="C39" s="26" t="str">
        <x:v>parking_sensors_front</x:v>
      </x:c>
      <x:c r="D39" s="26" t="str">
        <x:v>NOT_AVAILABLE</x:v>
      </x:c>
      <x:c r="E39" s="26" t="str">
        <x:v>VERIFIED</x:v>
      </x:c>
      <x:c r="F39" s="26" t="str">
        <x:v>Official table shows rear-only sensors.</x:v>
      </x:c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 t="str">
        <x:v>EQP-000039</x:v>
      </x:c>
      <x:c r="B40" s="26" t="str">
        <x:v>CFG-000004</x:v>
      </x:c>
      <x:c r="C40" s="26" t="str">
        <x:v>heated_front_seats</x:v>
      </x:c>
      <x:c r="D40" s="26" t="str">
        <x:v>NOT_AVAILABLE</x:v>
      </x:c>
      <x:c r="E40" s="26" t="str">
        <x:v>VERIFIED</x:v>
      </x:c>
      <x:c r="F40" s="26" t="str">
        <x:v>Official table marks heated seats absent.</x:v>
      </x:c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 t="str">
        <x:v>EQP-000040</x:v>
      </x:c>
      <x:c r="B41" s="26" t="str">
        <x:v>CFG-000004</x:v>
      </x:c>
      <x:c r="C41" s="26" t="str">
        <x:v>adaptive_cruise_control</x:v>
      </x:c>
      <x:c r="D41" s="26" t="str">
        <x:v>UNKNOWN</x:v>
      </x:c>
      <x:c r="E41" s="26" t="str">
        <x:v>UNKNOWN</x:v>
      </x:c>
      <x:c r="F41" s="26" t="str">
        <x:v>Terminology/applicability unresolved.</x:v>
      </x:c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 t="str">
        <x:v>EQP-000041</x:v>
      </x:c>
      <x:c r="B42" s="26" t="str">
        <x:v>CFG-000004</x:v>
      </x:c>
      <x:c r="C42" s="26" t="str">
        <x:v>lane_keep_assist</x:v>
      </x:c>
      <x:c r="D42" s="26" t="str">
        <x:v>UNKNOWN</x:v>
      </x:c>
      <x:c r="E42" s="26" t="str">
        <x:v>UNKNOWN</x:v>
      </x:c>
      <x:c r="F42" s="26" t="str">
        <x:v>Terminology/applicability unresolved.</x:v>
      </x:c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 t="str">
        <x:v>EQP-000042</x:v>
      </x:c>
      <x:c r="B43" s="26" t="str">
        <x:v>CFG-000004</x:v>
      </x:c>
      <x:c r="C43" s="26" t="str">
        <x:v>camera_360</x:v>
      </x:c>
      <x:c r="D43" s="26" t="str">
        <x:v>UNKNOWN</x:v>
      </x:c>
      <x:c r="E43" s="26" t="str">
        <x:v>UNKNOWN</x:v>
      </x:c>
      <x:c r="F43" s="26" t="str">
        <x:v>Terminology/applicability unresolved.</x:v>
      </x:c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 t="str">
        <x:v>EQP-000043</x:v>
      </x:c>
      <x:c r="B44" s="26" t="str">
        <x:v>CFG-000004</x:v>
      </x:c>
      <x:c r="C44" s="26" t="str">
        <x:v>apple_carplay</x:v>
      </x:c>
      <x:c r="D44" s="26" t="str">
        <x:v>UNKNOWN</x:v>
      </x:c>
      <x:c r="E44" s="26" t="str">
        <x:v>UNKNOWN</x:v>
      </x:c>
      <x:c r="F44" s="26" t="str">
        <x:v>Terminology/applicability unresolved.</x:v>
      </x:c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 t="str">
        <x:v>EQP-000044</x:v>
      </x:c>
      <x:c r="B45" s="26" t="str">
        <x:v>CFG-000004</x:v>
      </x:c>
      <x:c r="C45" s="26" t="str">
        <x:v>android_auto</x:v>
      </x:c>
      <x:c r="D45" s="26" t="str">
        <x:v>UNKNOWN</x:v>
      </x:c>
      <x:c r="E45" s="26" t="str">
        <x:v>UNKNOWN</x:v>
      </x:c>
      <x:c r="F45" s="26" t="str">
        <x:v>Terminology/applicability unresolved.</x:v>
      </x:c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 t="str">
        <x:v>EQP-000045</x:v>
      </x:c>
      <x:c r="B46" s="26" t="str">
        <x:v>CFG-000005</x:v>
      </x:c>
      <x:c r="C46" s="26" t="str">
        <x:v>aeb</x:v>
      </x:c>
      <x:c r="D46" s="26" t="str">
        <x:v>STANDARD</x:v>
      </x:c>
      <x:c r="E46" s="26" t="str">
        <x:v>VERIFIED</x:v>
      </x:c>
      <x:c r="F46" s="26" t="str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 t="str">
        <x:v>EQP-000046</x:v>
      </x:c>
      <x:c r="B47" s="26" t="str">
        <x:v>CFG-000005</x:v>
      </x:c>
      <x:c r="C47" s="26" t="str">
        <x:v>adaptive_cruise_control</x:v>
      </x:c>
      <x:c r="D47" s="26" t="str">
        <x:v>STANDARD</x:v>
      </x:c>
      <x:c r="E47" s="26" t="str">
        <x:v>VERIFIED</x:v>
      </x:c>
      <x:c r="F47" s="26" t="str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 t="str">
        <x:v>EQP-000047</x:v>
      </x:c>
      <x:c r="B48" s="26" t="str">
        <x:v>CFG-000005</x:v>
      </x:c>
      <x:c r="C48" s="26" t="str">
        <x:v>lane_keep_assist</x:v>
      </x:c>
      <x:c r="D48" s="26" t="str">
        <x:v>STANDARD</x:v>
      </x:c>
      <x:c r="E48" s="26" t="str">
        <x:v>VERIFIED</x:v>
      </x:c>
      <x:c r="F48" s="26" t="str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 t="str">
        <x:v>EQP-000048</x:v>
      </x:c>
      <x:c r="B49" s="26" t="str">
        <x:v>CFG-000005</x:v>
      </x:c>
      <x:c r="C49" s="26" t="str">
        <x:v>blind_spot_monitor</x:v>
      </x:c>
      <x:c r="D49" s="26" t="str">
        <x:v>STANDARD</x:v>
      </x:c>
      <x:c r="E49" s="26" t="str">
        <x:v>VERIFIED</x:v>
      </x:c>
      <x:c r="F49" s="26" t="str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 t="str">
        <x:v>EQP-000049</x:v>
      </x:c>
      <x:c r="B50" s="26" t="str">
        <x:v>CFG-000005</x:v>
      </x:c>
      <x:c r="C50" s="26" t="str">
        <x:v>rear_cross_traffic_alert</x:v>
      </x:c>
      <x:c r="D50" s="26" t="str">
        <x:v>STANDARD</x:v>
      </x:c>
      <x:c r="E50" s="26" t="str">
        <x:v>VERIFIED</x:v>
      </x:c>
      <x:c r="F50" s="26" t="str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 t="str">
        <x:v>EQP-000050</x:v>
      </x:c>
      <x:c r="B51" s="26" t="str">
        <x:v>CFG-000005</x:v>
      </x:c>
      <x:c r="C51" s="26" t="str">
        <x:v>isofix_rear</x:v>
      </x:c>
      <x:c r="D51" s="26" t="str">
        <x:v>STANDARD</x:v>
      </x:c>
      <x:c r="E51" s="26" t="str">
        <x:v>VERIFIED</x:v>
      </x:c>
      <x:c r="F51" s="26" t="str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 t="str">
        <x:v>EQP-000051</x:v>
      </x:c>
      <x:c r="B52" s="26" t="str">
        <x:v>CFG-000005</x:v>
      </x:c>
      <x:c r="C52" s="26" t="str">
        <x:v>isofix_front</x:v>
      </x:c>
      <x:c r="D52" s="26" t="str">
        <x:v>STANDARD</x:v>
      </x:c>
      <x:c r="E52" s="26" t="str">
        <x:v>VERIFIED</x:v>
      </x:c>
      <x:c r="F52" s="26" t="str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 t="str">
        <x:v>EQP-000052</x:v>
      </x:c>
      <x:c r="B53" s="26" t="str">
        <x:v>CFG-000005</x:v>
      </x:c>
      <x:c r="C53" s="26" t="str">
        <x:v>parking_sensors_rear</x:v>
      </x:c>
      <x:c r="D53" s="26" t="str">
        <x:v>STANDARD</x:v>
      </x:c>
      <x:c r="E53" s="26" t="str">
        <x:v>VERIFIED</x:v>
      </x:c>
      <x:c r="F53" s="26" t="str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 t="str">
        <x:v>EQP-000053</x:v>
      </x:c>
      <x:c r="B54" s="26" t="str">
        <x:v>CFG-000005</x:v>
      </x:c>
      <x:c r="C54" s="26" t="str">
        <x:v>parking_sensors_front</x:v>
      </x:c>
      <x:c r="D54" s="26" t="str">
        <x:v>STANDARD</x:v>
      </x:c>
      <x:c r="E54" s="26" t="str">
        <x:v>VERIFIED</x:v>
      </x:c>
      <x:c r="F54" s="26" t="str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 t="str">
        <x:v>EQP-000054</x:v>
      </x:c>
      <x:c r="B55" s="26" t="str">
        <x:v>CFG-000005</x:v>
      </x:c>
      <x:c r="C55" s="26" t="str">
        <x:v>camera_360</x:v>
      </x:c>
      <x:c r="D55" s="26" t="str">
        <x:v>STANDARD</x:v>
      </x:c>
      <x:c r="E55" s="26" t="str">
        <x:v>VERIFIED</x:v>
      </x:c>
      <x:c r="F55" s="26" t="str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 t="str">
        <x:v>EQP-000055</x:v>
      </x:c>
      <x:c r="B56" s="26" t="str">
        <x:v>CFG-000005</x:v>
      </x:c>
      <x:c r="C56" s="26" t="str">
        <x:v>apple_carplay</x:v>
      </x:c>
      <x:c r="D56" s="26" t="str">
        <x:v>STANDARD</x:v>
      </x:c>
      <x:c r="E56" s="26" t="str">
        <x:v>VERIFIED</x:v>
      </x:c>
      <x:c r="F56" s="26" t="str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 t="str">
        <x:v>EQP-000056</x:v>
      </x:c>
      <x:c r="B57" s="26" t="str">
        <x:v>CFG-000005</x:v>
      </x:c>
      <x:c r="C57" s="26" t="str">
        <x:v>android_auto</x:v>
      </x:c>
      <x:c r="D57" s="26" t="str">
        <x:v>STANDARD</x:v>
      </x:c>
      <x:c r="E57" s="26" t="str">
        <x:v>VERIFIED</x:v>
      </x:c>
      <x:c r="F57" s="26" t="str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 t="str">
        <x:v>EQP-000057</x:v>
      </x:c>
      <x:c r="B58" s="26" t="str">
        <x:v>CFG-000005</x:v>
      </x:c>
      <x:c r="C58" s="26" t="str">
        <x:v>automatic_climate_control</x:v>
      </x:c>
      <x:c r="D58" s="26" t="str">
        <x:v>STANDARD</x:v>
      </x:c>
      <x:c r="E58" s="26" t="str">
        <x:v>VERIFIED</x:v>
      </x:c>
      <x:c r="F58" s="26" t="str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 t="str">
        <x:v>EQP-000058</x:v>
      </x:c>
      <x:c r="B59" s="26" t="str">
        <x:v>CFG-000005</x:v>
      </x:c>
      <x:c r="C59" s="26" t="str">
        <x:v>heated_front_seats</x:v>
      </x:c>
      <x:c r="D59" s="26" t="str">
        <x:v>STANDARD</x:v>
      </x:c>
      <x:c r="E59" s="26" t="str">
        <x:v>VERIFIED</x:v>
      </x:c>
      <x:c r="F59" s="26" t="str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 t="str">
        <x:v>EQP-000059</x:v>
      </x:c>
      <x:c r="B60" s="26" t="str">
        <x:v>CFG-000005</x:v>
      </x:c>
      <x:c r="C60" s="26" t="str">
        <x:v>ventilated_front_seats</x:v>
      </x:c>
      <x:c r="D60" s="26" t="str">
        <x:v>STANDARD</x:v>
      </x:c>
      <x:c r="E60" s="26" t="str">
        <x:v>VERIFIED</x:v>
      </x:c>
      <x:c r="F60" s="26" t="str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 t="str">
        <x:v>EQP-000060</x:v>
      </x:c>
      <x:c r="B61" s="26" t="str">
        <x:v>CFG-000005</x:v>
      </x:c>
      <x:c r="C61" s="26" t="str">
        <x:v>powered_tailgate</x:v>
      </x:c>
      <x:c r="D61" s="26" t="str">
        <x:v>STANDARD</x:v>
      </x:c>
      <x:c r="E61" s="26" t="str">
        <x:v>VERIFIED</x:v>
      </x:c>
      <x:c r="F61" s="26" t="str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 t="str">
        <x:v>EQP-000061</x:v>
      </x:c>
      <x:c r="B62" s="26" t="str">
        <x:v>CFG-000006</x:v>
      </x:c>
      <x:c r="C62" s="26" t="str">
        <x:v>aeb</x:v>
      </x:c>
      <x:c r="D62" s="26" t="str">
        <x:v>STANDARD</x:v>
      </x:c>
      <x:c r="E62" s="26" t="str">
        <x:v>VERIFIED</x:v>
      </x:c>
      <x:c r="F62" s="26" t="str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 t="str">
        <x:v>EQP-000062</x:v>
      </x:c>
      <x:c r="B63" s="26" t="str">
        <x:v>CFG-000006</x:v>
      </x:c>
      <x:c r="C63" s="26" t="str">
        <x:v>adaptive_cruise_control</x:v>
      </x:c>
      <x:c r="D63" s="26" t="str">
        <x:v>STANDARD</x:v>
      </x:c>
      <x:c r="E63" s="26" t="str">
        <x:v>VERIFIED</x:v>
      </x:c>
      <x:c r="F63" s="26" t="str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 t="str">
        <x:v>EQP-000063</x:v>
      </x:c>
      <x:c r="B64" s="26" t="str">
        <x:v>CFG-000006</x:v>
      </x:c>
      <x:c r="C64" s="26" t="str">
        <x:v>lane_keep_assist</x:v>
      </x:c>
      <x:c r="D64" s="26" t="str">
        <x:v>STANDARD</x:v>
      </x:c>
      <x:c r="E64" s="26" t="str">
        <x:v>VERIFIED</x:v>
      </x:c>
      <x:c r="F64" s="26" t="str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 t="str">
        <x:v>EQP-000064</x:v>
      </x:c>
      <x:c r="B65" s="26" t="str">
        <x:v>CFG-000006</x:v>
      </x:c>
      <x:c r="C65" s="26" t="str">
        <x:v>blind_spot_monitor</x:v>
      </x:c>
      <x:c r="D65" s="26" t="str">
        <x:v>STANDARD</x:v>
      </x:c>
      <x:c r="E65" s="26" t="str">
        <x:v>VERIFIED</x:v>
      </x:c>
      <x:c r="F65" s="26" t="str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 t="str">
        <x:v>EQP-000065</x:v>
      </x:c>
      <x:c r="B66" s="26" t="str">
        <x:v>CFG-000006</x:v>
      </x:c>
      <x:c r="C66" s="26" t="str">
        <x:v>parking_sensors_rear</x:v>
      </x:c>
      <x:c r="D66" s="26" t="str">
        <x:v>STANDARD</x:v>
      </x:c>
      <x:c r="E66" s="26" t="str">
        <x:v>VERIFIED</x:v>
      </x:c>
      <x:c r="F66" s="26" t="str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 t="str">
        <x:v>EQP-000066</x:v>
      </x:c>
      <x:c r="B67" s="26" t="str">
        <x:v>CFG-000006</x:v>
      </x:c>
      <x:c r="C67" s="26" t="str">
        <x:v>parking_sensors_front</x:v>
      </x:c>
      <x:c r="D67" s="26" t="str">
        <x:v>STANDARD</x:v>
      </x:c>
      <x:c r="E67" s="26" t="str">
        <x:v>VERIFIED</x:v>
      </x:c>
      <x:c r="F67" s="26" t="str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 t="str">
        <x:v>EQP-000067</x:v>
      </x:c>
      <x:c r="B68" s="26" t="str">
        <x:v>CFG-000006</x:v>
      </x:c>
      <x:c r="C68" s="26" t="str">
        <x:v>reversing_camera</x:v>
      </x:c>
      <x:c r="D68" s="26" t="str">
        <x:v>STANDARD</x:v>
      </x:c>
      <x:c r="E68" s="26" t="str">
        <x:v>VERIFIED</x:v>
      </x:c>
      <x:c r="F68" s="26" t="str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 t="str">
        <x:v>EQP-000068</x:v>
      </x:c>
      <x:c r="B69" s="26" t="str">
        <x:v>CFG-000006</x:v>
      </x:c>
      <x:c r="C69" s="26" t="str">
        <x:v>camera_360</x:v>
      </x:c>
      <x:c r="D69" s="26" t="str">
        <x:v>STANDARD</x:v>
      </x:c>
      <x:c r="E69" s="26" t="str">
        <x:v>VERIFIED</x:v>
      </x:c>
      <x:c r="F69" s="26" t="str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 t="str">
        <x:v>EQP-000069</x:v>
      </x:c>
      <x:c r="B70" s="26" t="str">
        <x:v>CFG-000006</x:v>
      </x:c>
      <x:c r="C70" s="26" t="str">
        <x:v>heated_front_seats</x:v>
      </x:c>
      <x:c r="D70" s="26" t="str">
        <x:v>STANDARD</x:v>
      </x:c>
      <x:c r="E70" s="26" t="str">
        <x:v>VERIFIED</x:v>
      </x:c>
      <x:c r="F70" s="26" t="str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 t="str">
        <x:v>EQP-000070</x:v>
      </x:c>
      <x:c r="B71" s="26" t="str">
        <x:v>CFG-000006</x:v>
      </x:c>
      <x:c r="C71" s="26" t="str">
        <x:v>powered_tailgate</x:v>
      </x:c>
      <x:c r="D71" s="26" t="str">
        <x:v>STANDARD</x:v>
      </x:c>
      <x:c r="E71" s="26" t="str">
        <x:v>VERIFIED</x:v>
      </x:c>
      <x:c r="F71" s="26" t="str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 t="str">
        <x:v>EQP-000071</x:v>
      </x:c>
      <x:c r="B72" s="26" t="str">
        <x:v>CFG-000006</x:v>
      </x:c>
      <x:c r="C72" s="26" t="str">
        <x:v>apple_carplay</x:v>
      </x:c>
      <x:c r="D72" s="26" t="str">
        <x:v>UNKNOWN</x:v>
      </x:c>
      <x:c r="E72" s="26" t="str">
        <x:v>UNKNOWN</x:v>
      </x:c>
      <x:c r="F72" s="26" t="str">
        <x:v>Not explicitly resolved in this pass.</x:v>
      </x:c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 t="str">
        <x:v>EQP-000072</x:v>
      </x:c>
      <x:c r="B73" s="26" t="str">
        <x:v>CFG-000006</x:v>
      </x:c>
      <x:c r="C73" s="26" t="str">
        <x:v>android_auto</x:v>
      </x:c>
      <x:c r="D73" s="26" t="str">
        <x:v>UNKNOWN</x:v>
      </x:c>
      <x:c r="E73" s="26" t="str">
        <x:v>UNKNOWN</x:v>
      </x:c>
      <x:c r="F73" s="26" t="str">
        <x:v>Not explicitly resolved in this pass.</x:v>
      </x:c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 t="str">
        <x:v>EQP-000073</x:v>
      </x:c>
      <x:c r="B74" s="26" t="str">
        <x:v>CFG-000006</x:v>
      </x:c>
      <x:c r="C74" s="26" t="str">
        <x:v>isofix_rear</x:v>
      </x:c>
      <x:c r="D74" s="26" t="str">
        <x:v>UNKNOWN</x:v>
      </x:c>
      <x:c r="E74" s="26" t="str">
        <x:v>UNKNOWN</x:v>
      </x:c>
      <x:c r="F74" s="26" t="str">
        <x:v>Not explicitly resolved in this pass.</x:v>
      </x:c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 t="str">
        <x:v>EQP-000074</x:v>
      </x:c>
      <x:c r="B75" s="26" t="str">
        <x:v>CFG-000006</x:v>
      </x:c>
      <x:c r="C75" s="26" t="str">
        <x:v>rear_cross_traffic_alert</x:v>
      </x:c>
      <x:c r="D75" s="26" t="str">
        <x:v>UNKNOWN</x:v>
      </x:c>
      <x:c r="E75" s="26" t="str">
        <x:v>UNKNOWN</x:v>
      </x:c>
      <x:c r="F75" s="26" t="str">
        <x:v>Not explicitly resolved in this pass.</x:v>
      </x:c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 t="str">
        <x:v>EQP-000075</x:v>
      </x:c>
      <x:c r="B76" s="26" t="str">
        <x:v>CFG-000007</x:v>
      </x:c>
      <x:c r="C76" s="26" t="str">
        <x:v>aeb</x:v>
      </x:c>
      <x:c r="D76" s="26" t="str">
        <x:v>UNKNOWN</x:v>
      </x:c>
      <x:c r="E76" s="26" t="str">
        <x:v>UNKNOWN</x:v>
      </x:c>
      <x:c r="F76" s="26" t="str">
        <x:v>Configuration identity unresolved.</x:v>
      </x:c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 t="str">
        <x:v>EQP-000076</x:v>
      </x:c>
      <x:c r="B77" s="26" t="str">
        <x:v>CFG-000007</x:v>
      </x:c>
      <x:c r="C77" s="26" t="str">
        <x:v>adaptive_cruise_control</x:v>
      </x:c>
      <x:c r="D77" s="26" t="str">
        <x:v>STANDARD</x:v>
      </x:c>
      <x:c r="E77" s="26" t="str">
        <x:v>VERIFIED</x:v>
      </x:c>
      <x:c r="F77" s="26" t="str">
        <x:v>ACC is standard on all T10X produced April 2025 onward per official ADAS notice.</x:v>
      </x:c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 t="str">
        <x:v>EQP-000077</x:v>
      </x:c>
      <x:c r="B78" s="26" t="str">
        <x:v>CFG-000007</x:v>
      </x:c>
      <x:c r="C78" s="26" t="str">
        <x:v>lane_keep_assist</x:v>
      </x:c>
      <x:c r="D78" s="26" t="str">
        <x:v>UNKNOWN</x:v>
      </x:c>
      <x:c r="E78" s="26" t="str">
        <x:v>UNKNOWN</x:v>
      </x:c>
      <x:c r="F78" s="26" t="str">
        <x:v>Configuration identity unresolved.</x:v>
      </x:c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 t="str">
        <x:v>EQP-000078</x:v>
      </x:c>
      <x:c r="B79" s="26" t="str">
        <x:v>CFG-000007</x:v>
      </x:c>
      <x:c r="C79" s="26" t="str">
        <x:v>blind_spot_monitor</x:v>
      </x:c>
      <x:c r="D79" s="26" t="str">
        <x:v>UNKNOWN</x:v>
      </x:c>
      <x:c r="E79" s="26" t="str">
        <x:v>UNKNOWN</x:v>
      </x:c>
      <x:c r="F79" s="26" t="str">
        <x:v>Configuration identity unresolved.</x:v>
      </x:c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 t="str">
        <x:v>EQP-000079</x:v>
      </x:c>
      <x:c r="B80" s="26" t="str">
        <x:v>CFG-000007</x:v>
      </x:c>
      <x:c r="C80" s="26" t="str">
        <x:v>parking_sensors_rear</x:v>
      </x:c>
      <x:c r="D80" s="26" t="str">
        <x:v>UNKNOWN</x:v>
      </x:c>
      <x:c r="E80" s="26" t="str">
        <x:v>UNKNOWN</x:v>
      </x:c>
      <x:c r="F80" s="26" t="str">
        <x:v>Configuration identity unresolved.</x:v>
      </x:c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 t="str">
        <x:v>EQP-000080</x:v>
      </x:c>
      <x:c r="B81" s="26" t="str">
        <x:v>CFG-000007</x:v>
      </x:c>
      <x:c r="C81" s="26" t="str">
        <x:v>reversing_camera</x:v>
      </x:c>
      <x:c r="D81" s="26" t="str">
        <x:v>UNKNOWN</x:v>
      </x:c>
      <x:c r="E81" s="26" t="str">
        <x:v>UNKNOWN</x:v>
      </x:c>
      <x:c r="F81" s="26" t="str">
        <x:v>Configuration identity unresolved.</x:v>
      </x:c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 t="str">
        <x:v>EQP-000081</x:v>
      </x:c>
      <x:c r="B82" s="26" t="str">
        <x:v>CFG-000007</x:v>
      </x:c>
      <x:c r="C82" s="26" t="str">
        <x:v>camera_360</x:v>
      </x:c>
      <x:c r="D82" s="26" t="str">
        <x:v>UNKNOWN</x:v>
      </x:c>
      <x:c r="E82" s="26" t="str">
        <x:v>UNKNOWN</x:v>
      </x:c>
      <x:c r="F82" s="26" t="str">
        <x:v>Configuration identity unresolved.</x:v>
      </x:c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 t="str">
        <x:v>EQP-000082</x:v>
      </x:c>
      <x:c r="B83" s="26" t="str">
        <x:v>CFG-000008</x:v>
      </x:c>
      <x:c r="C83" s="26" t="str">
        <x:v>aeb</x:v>
      </x:c>
      <x:c r="D83" s="26" t="str">
        <x:v>STANDARD</x:v>
      </x:c>
      <x:c r="E83" s="26" t="str">
        <x:v>VERIFIED</x:v>
      </x:c>
      <x:c r="F83" s="26" t="str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 t="str">
        <x:v>EQP-000083</x:v>
      </x:c>
      <x:c r="B84" s="26" t="str">
        <x:v>CFG-000008</x:v>
      </x:c>
      <x:c r="C84" s="26" t="str">
        <x:v>lane_keep_assist</x:v>
      </x:c>
      <x:c r="D84" s="26" t="str">
        <x:v>STANDARD</x:v>
      </x:c>
      <x:c r="E84" s="26" t="str">
        <x:v>VERIFIED</x:v>
      </x:c>
      <x:c r="F84" s="26" t="str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 t="str">
        <x:v>EQP-000084</x:v>
      </x:c>
      <x:c r="B85" s="26" t="str">
        <x:v>CFG-000008</x:v>
      </x:c>
      <x:c r="C85" s="26" t="str">
        <x:v>isofix_rear</x:v>
      </x:c>
      <x:c r="D85" s="26" t="str">
        <x:v>STANDARD</x:v>
      </x:c>
      <x:c r="E85" s="26" t="str">
        <x:v>VERIFIED</x:v>
      </x:c>
      <x:c r="F85" s="26" t="str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 t="str">
        <x:v>EQP-000085</x:v>
      </x:c>
      <x:c r="B86" s="26" t="str">
        <x:v>CFG-000008</x:v>
      </x:c>
      <x:c r="C86" s="26" t="str">
        <x:v>reversing_camera</x:v>
      </x:c>
      <x:c r="D86" s="26" t="str">
        <x:v>STANDARD</x:v>
      </x:c>
      <x:c r="E86" s="26" t="str">
        <x:v>VERIFIED</x:v>
      </x:c>
      <x:c r="F86" s="26" t="str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 t="str">
        <x:v>EQP-000086</x:v>
      </x:c>
      <x:c r="B87" s="26" t="str">
        <x:v>CFG-000008</x:v>
      </x:c>
      <x:c r="C87" s="26" t="str">
        <x:v>apple_carplay</x:v>
      </x:c>
      <x:c r="D87" s="26" t="str">
        <x:v>STANDARD</x:v>
      </x:c>
      <x:c r="E87" s="26" t="str">
        <x:v>VERIFIED</x:v>
      </x:c>
      <x:c r="F87" s="26" t="str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 t="str">
        <x:v>EQP-000087</x:v>
      </x:c>
      <x:c r="B88" s="26" t="str">
        <x:v>CFG-000008</x:v>
      </x:c>
      <x:c r="C88" s="26" t="str">
        <x:v>android_auto</x:v>
      </x:c>
      <x:c r="D88" s="26" t="str">
        <x:v>STANDARD</x:v>
      </x:c>
      <x:c r="E88" s="26" t="str">
        <x:v>VERIFIED</x:v>
      </x:c>
      <x:c r="F88" s="26" t="str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 t="str">
        <x:v>EQP-000088</x:v>
      </x:c>
      <x:c r="B89" s="26" t="str">
        <x:v>CFG-000008</x:v>
      </x:c>
      <x:c r="C89" s="26" t="str">
        <x:v>keyless_entry</x:v>
      </x:c>
      <x:c r="D89" s="26" t="str">
        <x:v>STANDARD</x:v>
      </x:c>
      <x:c r="E89" s="26" t="str">
        <x:v>VERIFIED</x:v>
      </x:c>
      <x:c r="F89" s="26" t="str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 t="str">
        <x:v>EQP-000089</x:v>
      </x:c>
      <x:c r="B90" s="26" t="str">
        <x:v>CFG-000008</x:v>
      </x:c>
      <x:c r="C90" s="26" t="str">
        <x:v>adaptive_cruise_control</x:v>
      </x:c>
      <x:c r="D90" s="26" t="str">
        <x:v>UNKNOWN</x:v>
      </x:c>
      <x:c r="E90" s="26" t="str">
        <x:v>UNKNOWN</x:v>
      </x:c>
      <x:c r="F90" s="26" t="str">
        <x:v>Basic cruise is not mapped to adaptive; remaining items unresolved.</x:v>
      </x:c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 t="str">
        <x:v>EQP-000090</x:v>
      </x:c>
      <x:c r="B91" s="26" t="str">
        <x:v>CFG-000008</x:v>
      </x:c>
      <x:c r="C91" s="26" t="str">
        <x:v>blind_spot_monitor</x:v>
      </x:c>
      <x:c r="D91" s="26" t="str">
        <x:v>UNKNOWN</x:v>
      </x:c>
      <x:c r="E91" s="26" t="str">
        <x:v>UNKNOWN</x:v>
      </x:c>
      <x:c r="F91" s="26" t="str">
        <x:v>Basic cruise is not mapped to adaptive; remaining items unresolved.</x:v>
      </x:c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 t="str">
        <x:v>EQP-000091</x:v>
      </x:c>
      <x:c r="B92" s="26" t="str">
        <x:v>CFG-000008</x:v>
      </x:c>
      <x:c r="C92" s="26" t="str">
        <x:v>camera_360</x:v>
      </x:c>
      <x:c r="D92" s="26" t="str">
        <x:v>UNKNOWN</x:v>
      </x:c>
      <x:c r="E92" s="26" t="str">
        <x:v>UNKNOWN</x:v>
      </x:c>
      <x:c r="F92" s="26" t="str">
        <x:v>Basic cruise is not mapped to adaptive; remaining items unresolved.</x:v>
      </x:c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 t="str">
        <x:v>EQP-000092</x:v>
      </x:c>
      <x:c r="B93" s="26" t="str">
        <x:v>CFG-000008</x:v>
      </x:c>
      <x:c r="C93" s="26" t="str">
        <x:v>parking_sensors_front</x:v>
      </x:c>
      <x:c r="D93" s="26" t="str">
        <x:v>UNKNOWN</x:v>
      </x:c>
      <x:c r="E93" s="26" t="str">
        <x:v>UNKNOWN</x:v>
      </x:c>
      <x:c r="F93" s="26" t="str">
        <x:v>Basic cruise is not mapped to adaptive; remaining items unresolved.</x:v>
      </x:c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 t="str">
        <x:v>EQP-000093</x:v>
      </x:c>
      <x:c r="B94" s="26" t="str">
        <x:v>CFG-000008</x:v>
      </x:c>
      <x:c r="C94" s="26" t="str">
        <x:v>parking_sensors_rear</x:v>
      </x:c>
      <x:c r="D94" s="26" t="str">
        <x:v>UNKNOWN</x:v>
      </x:c>
      <x:c r="E94" s="26" t="str">
        <x:v>UNKNOWN</x:v>
      </x:c>
      <x:c r="F94" s="26" t="str">
        <x:v>Basic cruise is not mapped to adaptive; remaining items unresolved.</x:v>
      </x:c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 t="str">
        <x:v>EQP-000094</x:v>
      </x:c>
      <x:c r="B95" s="26" t="str">
        <x:v>CFG-000009</x:v>
      </x:c>
      <x:c r="C95" s="26" t="str">
        <x:v>aeb</x:v>
      </x:c>
      <x:c r="D95" s="26" t="str">
        <x:v>STANDARD</x:v>
      </x:c>
      <x:c r="E95" s="26" t="str">
        <x:v>VERIFIED</x:v>
      </x:c>
      <x:c r="F95" s="26" t="str">
        <x:v>SCALE_BATCH_01 exact trim evidence.</x:v>
      </x:c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 t="str">
        <x:v>EQP-000095</x:v>
      </x:c>
      <x:c r="B96" s="26" t="str">
        <x:v>CFG-000009</x:v>
      </x:c>
      <x:c r="C96" s="26" t="str">
        <x:v>lane_keep_assist</x:v>
      </x:c>
      <x:c r="D96" s="26" t="str">
        <x:v>STANDARD</x:v>
      </x:c>
      <x:c r="E96" s="26" t="str">
        <x:v>VERIFIED</x:v>
      </x:c>
      <x:c r="F96" s="26" t="str">
        <x:v>SCALE_BATCH_01 exact trim evidence.</x:v>
      </x:c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 t="str">
        <x:v>EQP-000096</x:v>
      </x:c>
      <x:c r="B97" s="26" t="str">
        <x:v>CFG-000009</x:v>
      </x:c>
      <x:c r="C97" s="26" t="str">
        <x:v>parking_sensors_rear</x:v>
      </x:c>
      <x:c r="D97" s="26" t="str">
        <x:v>STANDARD</x:v>
      </x:c>
      <x:c r="E97" s="26" t="str">
        <x:v>VERIFIED</x:v>
      </x:c>
      <x:c r="F97" s="26" t="str">
        <x:v>SCALE_BATCH_01 exact trim evidence.</x:v>
      </x:c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 t="str">
        <x:v>EQP-000097</x:v>
      </x:c>
      <x:c r="B98" s="26" t="str">
        <x:v>CFG-000009</x:v>
      </x:c>
      <x:c r="C98" s="26" t="str">
        <x:v>reversing_camera</x:v>
      </x:c>
      <x:c r="D98" s="26" t="str">
        <x:v>STANDARD</x:v>
      </x:c>
      <x:c r="E98" s="26" t="str">
        <x:v>VERIFIED</x:v>
      </x:c>
      <x:c r="F98" s="26" t="str">
        <x:v>SCALE_BATCH_01 exact trim evidence.</x:v>
      </x:c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 t="str">
        <x:v>EQP-000098</x:v>
      </x:c>
      <x:c r="B99" s="26" t="str">
        <x:v>CFG-000009</x:v>
      </x:c>
      <x:c r="C99" s="26" t="str">
        <x:v>apple_carplay</x:v>
      </x:c>
      <x:c r="D99" s="26" t="str">
        <x:v>STANDARD</x:v>
      </x:c>
      <x:c r="E99" s="26" t="str">
        <x:v>VERIFIED</x:v>
      </x:c>
      <x:c r="F99" s="26" t="str">
        <x:v>SCALE_BATCH_01 exact trim evidence.</x:v>
      </x:c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 t="str">
        <x:v>EQP-000099</x:v>
      </x:c>
      <x:c r="B100" s="26" t="str">
        <x:v>CFG-000009</x:v>
      </x:c>
      <x:c r="C100" s="26" t="str">
        <x:v>android_auto</x:v>
      </x:c>
      <x:c r="D100" s="26" t="str">
        <x:v>STANDARD</x:v>
      </x:c>
      <x:c r="E100" s="26" t="str">
        <x:v>VERIFIED</x:v>
      </x:c>
      <x:c r="F100" s="26" t="str">
        <x:v>SCALE_BATCH_01 exact trim evidence.</x:v>
      </x:c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 t="str">
        <x:v>EQP-000100</x:v>
      </x:c>
      <x:c r="B101" s="26" t="str">
        <x:v>CFG-000010</x:v>
      </x:c>
      <x:c r="C101" s="26" t="str">
        <x:v>aeb</x:v>
      </x:c>
      <x:c r="D101" s="26" t="str">
        <x:v>STANDARD</x:v>
      </x:c>
      <x:c r="E101" s="26" t="str">
        <x:v>VERIFIED</x:v>
      </x:c>
      <x:c r="F101" s="26" t="str">
        <x:v>SCALE_BATCH_01 exact trim evidence.</x:v>
      </x:c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 t="str">
        <x:v>EQP-000101</x:v>
      </x:c>
      <x:c r="B102" s="26" t="str">
        <x:v>CFG-000010</x:v>
      </x:c>
      <x:c r="C102" s="26" t="str">
        <x:v>lane_keep_assist</x:v>
      </x:c>
      <x:c r="D102" s="26" t="str">
        <x:v>STANDARD</x:v>
      </x:c>
      <x:c r="E102" s="26" t="str">
        <x:v>VERIFIED</x:v>
      </x:c>
      <x:c r="F102" s="26" t="str">
        <x:v>SCALE_BATCH_01 exact trim evidence.</x:v>
      </x:c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 t="str">
        <x:v>EQP-000102</x:v>
      </x:c>
      <x:c r="B103" s="26" t="str">
        <x:v>CFG-000010</x:v>
      </x:c>
      <x:c r="C103" s="26" t="str">
        <x:v>parking_sensors_rear</x:v>
      </x:c>
      <x:c r="D103" s="26" t="str">
        <x:v>STANDARD</x:v>
      </x:c>
      <x:c r="E103" s="26" t="str">
        <x:v>VERIFIED</x:v>
      </x:c>
      <x:c r="F103" s="26" t="str">
        <x:v>SCALE_BATCH_01 exact trim evidence.</x:v>
      </x:c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 t="str">
        <x:v>EQP-000103</x:v>
      </x:c>
      <x:c r="B104" s="26" t="str">
        <x:v>CFG-000010</x:v>
      </x:c>
      <x:c r="C104" s="26" t="str">
        <x:v>reversing_camera</x:v>
      </x:c>
      <x:c r="D104" s="26" t="str">
        <x:v>STANDARD</x:v>
      </x:c>
      <x:c r="E104" s="26" t="str">
        <x:v>VERIFIED</x:v>
      </x:c>
      <x:c r="F104" s="26" t="str">
        <x:v>SCALE_BATCH_01 exact trim evidence.</x:v>
      </x:c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 t="str">
        <x:v>EQP-000104</x:v>
      </x:c>
      <x:c r="B105" s="26" t="str">
        <x:v>CFG-000010</x:v>
      </x:c>
      <x:c r="C105" s="26" t="str">
        <x:v>apple_carplay</x:v>
      </x:c>
      <x:c r="D105" s="26" t="str">
        <x:v>STANDARD</x:v>
      </x:c>
      <x:c r="E105" s="26" t="str">
        <x:v>VERIFIED</x:v>
      </x:c>
      <x:c r="F105" s="26" t="str">
        <x:v>SCALE_BATCH_01 exact trim evidence.</x:v>
      </x:c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 t="str">
        <x:v>EQP-000105</x:v>
      </x:c>
      <x:c r="B106" s="26" t="str">
        <x:v>CFG-000010</x:v>
      </x:c>
      <x:c r="C106" s="26" t="str">
        <x:v>android_auto</x:v>
      </x:c>
      <x:c r="D106" s="26" t="str">
        <x:v>STANDARD</x:v>
      </x:c>
      <x:c r="E106" s="26" t="str">
        <x:v>VERIFIED</x:v>
      </x:c>
      <x:c r="F106" s="26" t="str">
        <x:v>SCALE_BATCH_01 exact trim evidence.</x:v>
      </x:c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 t="str">
        <x:v>EQP-000106</x:v>
      </x:c>
      <x:c r="B107" s="26" t="str">
        <x:v>CFG-000011</x:v>
      </x:c>
      <x:c r="C107" s="26" t="str">
        <x:v>aeb</x:v>
      </x:c>
      <x:c r="D107" s="26" t="str">
        <x:v>STANDARD</x:v>
      </x:c>
      <x:c r="E107" s="26" t="str">
        <x:v>VERIFIED</x:v>
      </x:c>
      <x:c r="F107" s="26" t="str">
        <x:v>SCALE_BATCH_01 exact trim evidence.</x:v>
      </x:c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 t="str">
        <x:v>EQP-000107</x:v>
      </x:c>
      <x:c r="B108" s="26" t="str">
        <x:v>CFG-000011</x:v>
      </x:c>
      <x:c r="C108" s="26" t="str">
        <x:v>lane_keep_assist</x:v>
      </x:c>
      <x:c r="D108" s="26" t="str">
        <x:v>STANDARD</x:v>
      </x:c>
      <x:c r="E108" s="26" t="str">
        <x:v>VERIFIED</x:v>
      </x:c>
      <x:c r="F108" s="26" t="str">
        <x:v>SCALE_BATCH_01 exact trim evidence.</x:v>
      </x:c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 t="str">
        <x:v>EQP-000108</x:v>
      </x:c>
      <x:c r="B109" s="26" t="str">
        <x:v>CFG-000011</x:v>
      </x:c>
      <x:c r="C109" s="26" t="str">
        <x:v>parking_sensors_rear</x:v>
      </x:c>
      <x:c r="D109" s="26" t="str">
        <x:v>STANDARD</x:v>
      </x:c>
      <x:c r="E109" s="26" t="str">
        <x:v>VERIFIED</x:v>
      </x:c>
      <x:c r="F109" s="26" t="str">
        <x:v>SCALE_BATCH_01 exact trim evidence.</x:v>
      </x:c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 t="str">
        <x:v>EQP-000109</x:v>
      </x:c>
      <x:c r="B110" s="26" t="str">
        <x:v>CFG-000011</x:v>
      </x:c>
      <x:c r="C110" s="26" t="str">
        <x:v>reversing_camera</x:v>
      </x:c>
      <x:c r="D110" s="26" t="str">
        <x:v>STANDARD</x:v>
      </x:c>
      <x:c r="E110" s="26" t="str">
        <x:v>VERIFIED</x:v>
      </x:c>
      <x:c r="F110" s="26" t="str">
        <x:v>SCALE_BATCH_01 exact trim evidence.</x:v>
      </x:c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 t="str">
        <x:v>EQP-000110</x:v>
      </x:c>
      <x:c r="B111" s="26" t="str">
        <x:v>CFG-000011</x:v>
      </x:c>
      <x:c r="C111" s="26" t="str">
        <x:v>apple_carplay</x:v>
      </x:c>
      <x:c r="D111" s="26" t="str">
        <x:v>STANDARD</x:v>
      </x:c>
      <x:c r="E111" s="26" t="str">
        <x:v>VERIFIED</x:v>
      </x:c>
      <x:c r="F111" s="26" t="str">
        <x:v>SCALE_BATCH_01 exact trim evidence.</x:v>
      </x:c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 t="str">
        <x:v>EQP-000111</x:v>
      </x:c>
      <x:c r="B112" s="26" t="str">
        <x:v>CFG-000011</x:v>
      </x:c>
      <x:c r="C112" s="26" t="str">
        <x:v>android_auto</x:v>
      </x:c>
      <x:c r="D112" s="26" t="str">
        <x:v>STANDARD</x:v>
      </x:c>
      <x:c r="E112" s="26" t="str">
        <x:v>VERIFIED</x:v>
      </x:c>
      <x:c r="F112" s="26" t="str">
        <x:v>SCALE_BATCH_01 exact trim evidence.</x:v>
      </x:c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 t="str">
        <x:v>EQP-000112</x:v>
      </x:c>
      <x:c r="B113" s="26" t="str">
        <x:v>CFG-000019</x:v>
      </x:c>
      <x:c r="C113" s="26" t="str">
        <x:v>aeb</x:v>
      </x:c>
      <x:c r="D113" s="26" t="str">
        <x:v>STANDARD</x:v>
      </x:c>
      <x:c r="E113" s="26" t="str">
        <x:v>VERIFIED</x:v>
      </x:c>
      <x:c r="F113" s="26" t="str">
        <x:v>SCALE_BATCH_01 exact trim evidence.</x:v>
      </x:c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 t="str">
        <x:v>EQP-000113</x:v>
      </x:c>
      <x:c r="B114" s="26" t="str">
        <x:v>CFG-000019</x:v>
      </x:c>
      <x:c r="C114" s="26" t="str">
        <x:v>adaptive_cruise_control</x:v>
      </x:c>
      <x:c r="D114" s="26" t="str">
        <x:v>STANDARD</x:v>
      </x:c>
      <x:c r="E114" s="26" t="str">
        <x:v>VERIFIED</x:v>
      </x:c>
      <x:c r="F114" s="26" t="str">
        <x:v>SCALE_BATCH_01 exact trim evidence.</x:v>
      </x:c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 t="str">
        <x:v>EQP-000114</x:v>
      </x:c>
      <x:c r="B115" s="26" t="str">
        <x:v>CFG-000019</x:v>
      </x:c>
      <x:c r="C115" s="26" t="str">
        <x:v>lane_keep_assist</x:v>
      </x:c>
      <x:c r="D115" s="26" t="str">
        <x:v>STANDARD</x:v>
      </x:c>
      <x:c r="E115" s="26" t="str">
        <x:v>VERIFIED</x:v>
      </x:c>
      <x:c r="F115" s="26" t="str">
        <x:v>SCALE_BATCH_01 exact trim evidence.</x:v>
      </x:c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 t="str">
        <x:v>EQP-000115</x:v>
      </x:c>
      <x:c r="B116" s="26" t="str">
        <x:v>CFG-000019</x:v>
      </x:c>
      <x:c r="C116" s="26" t="str">
        <x:v>isofix_rear</x:v>
      </x:c>
      <x:c r="D116" s="26" t="str">
        <x:v>STANDARD</x:v>
      </x:c>
      <x:c r="E116" s="26" t="str">
        <x:v>VERIFIED</x:v>
      </x:c>
      <x:c r="F116" s="26" t="str">
        <x:v>SCALE_BATCH_01 exact trim evidence.</x:v>
      </x:c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 t="str">
        <x:v>EQP-000116</x:v>
      </x:c>
      <x:c r="B117" s="26" t="str">
        <x:v>CFG-000019</x:v>
      </x:c>
      <x:c r="C117" s="26" t="str">
        <x:v>reversing_camera</x:v>
      </x:c>
      <x:c r="D117" s="26" t="str">
        <x:v>STANDARD</x:v>
      </x:c>
      <x:c r="E117" s="26" t="str">
        <x:v>VERIFIED</x:v>
      </x:c>
      <x:c r="F117" s="26" t="str">
        <x:v>SCALE_BATCH_01 exact trim evidence.</x:v>
      </x:c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 t="str">
        <x:v>EQP-000117</x:v>
      </x:c>
      <x:c r="B118" s="26" t="str">
        <x:v>CFG-000019</x:v>
      </x:c>
      <x:c r="C118" s="26" t="str">
        <x:v>apple_carplay</x:v>
      </x:c>
      <x:c r="D118" s="26" t="str">
        <x:v>STANDARD</x:v>
      </x:c>
      <x:c r="E118" s="26" t="str">
        <x:v>VERIFIED</x:v>
      </x:c>
      <x:c r="F118" s="26" t="str">
        <x:v>SCALE_BATCH_01 exact trim evidence.</x:v>
      </x:c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 t="str">
        <x:v>EQP-000118</x:v>
      </x:c>
      <x:c r="B119" s="26" t="str">
        <x:v>CFG-000019</x:v>
      </x:c>
      <x:c r="C119" s="26" t="str">
        <x:v>android_auto</x:v>
      </x:c>
      <x:c r="D119" s="26" t="str">
        <x:v>STANDARD</x:v>
      </x:c>
      <x:c r="E119" s="26" t="str">
        <x:v>VERIFIED</x:v>
      </x:c>
      <x:c r="F119" s="26" t="str">
        <x:v>SCALE_BATCH_01 exact trim evidence.</x:v>
      </x:c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 t="str">
        <x:v>EQP-000119</x:v>
      </x:c>
      <x:c r="B120" s="26" t="str">
        <x:v>CFG-000020</x:v>
      </x:c>
      <x:c r="C120" s="26" t="str">
        <x:v>aeb</x:v>
      </x:c>
      <x:c r="D120" s="26" t="str">
        <x:v>STANDARD</x:v>
      </x:c>
      <x:c r="E120" s="26" t="str">
        <x:v>VERIFIED</x:v>
      </x:c>
      <x:c r="F120" s="26" t="str">
        <x:v>SCALE_BATCH_01 exact trim evidence.</x:v>
      </x:c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 t="str">
        <x:v>EQP-000120</x:v>
      </x:c>
      <x:c r="B121" s="26" t="str">
        <x:v>CFG-000020</x:v>
      </x:c>
      <x:c r="C121" s="26" t="str">
        <x:v>adaptive_cruise_control</x:v>
      </x:c>
      <x:c r="D121" s="26" t="str">
        <x:v>STANDARD</x:v>
      </x:c>
      <x:c r="E121" s="26" t="str">
        <x:v>VERIFIED</x:v>
      </x:c>
      <x:c r="F121" s="26" t="str">
        <x:v>SCALE_BATCH_01 exact trim evidence.</x:v>
      </x:c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 t="str">
        <x:v>EQP-000121</x:v>
      </x:c>
      <x:c r="B122" s="26" t="str">
        <x:v>CFG-000020</x:v>
      </x:c>
      <x:c r="C122" s="26" t="str">
        <x:v>lane_keep_assist</x:v>
      </x:c>
      <x:c r="D122" s="26" t="str">
        <x:v>STANDARD</x:v>
      </x:c>
      <x:c r="E122" s="26" t="str">
        <x:v>VERIFIED</x:v>
      </x:c>
      <x:c r="F122" s="26" t="str">
        <x:v>SCALE_BATCH_01 exact trim evidence.</x:v>
      </x:c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 t="str">
        <x:v>EQP-000122</x:v>
      </x:c>
      <x:c r="B123" s="26" t="str">
        <x:v>CFG-000020</x:v>
      </x:c>
      <x:c r="C123" s="26" t="str">
        <x:v>isofix_rear</x:v>
      </x:c>
      <x:c r="D123" s="26" t="str">
        <x:v>STANDARD</x:v>
      </x:c>
      <x:c r="E123" s="26" t="str">
        <x:v>VERIFIED</x:v>
      </x:c>
      <x:c r="F123" s="26" t="str">
        <x:v>SCALE_BATCH_01 exact trim evidence.</x:v>
      </x:c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 t="str">
        <x:v>EQP-000123</x:v>
      </x:c>
      <x:c r="B124" s="26" t="str">
        <x:v>CFG-000020</x:v>
      </x:c>
      <x:c r="C124" s="26" t="str">
        <x:v>reversing_camera</x:v>
      </x:c>
      <x:c r="D124" s="26" t="str">
        <x:v>STANDARD</x:v>
      </x:c>
      <x:c r="E124" s="26" t="str">
        <x:v>VERIFIED</x:v>
      </x:c>
      <x:c r="F124" s="26" t="str">
        <x:v>SCALE_BATCH_01 exact trim evidence.</x:v>
      </x:c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 t="str">
        <x:v>EQP-000124</x:v>
      </x:c>
      <x:c r="B125" s="26" t="str">
        <x:v>CFG-000020</x:v>
      </x:c>
      <x:c r="C125" s="26" t="str">
        <x:v>apple_carplay</x:v>
      </x:c>
      <x:c r="D125" s="26" t="str">
        <x:v>STANDARD</x:v>
      </x:c>
      <x:c r="E125" s="26" t="str">
        <x:v>VERIFIED</x:v>
      </x:c>
      <x:c r="F125" s="26" t="str">
        <x:v>SCALE_BATCH_01 exact trim evidence.</x:v>
      </x:c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 t="str">
        <x:v>EQP-000125</x:v>
      </x:c>
      <x:c r="B126" s="26" t="str">
        <x:v>CFG-000020</x:v>
      </x:c>
      <x:c r="C126" s="26" t="str">
        <x:v>android_auto</x:v>
      </x:c>
      <x:c r="D126" s="26" t="str">
        <x:v>STANDARD</x:v>
      </x:c>
      <x:c r="E126" s="26" t="str">
        <x:v>VERIFIED</x:v>
      </x:c>
      <x:c r="F126" s="26" t="str">
        <x:v>SCALE_BATCH_01 exact trim evidence.</x:v>
      </x:c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 t="str">
        <x:v>EQP-000126</x:v>
      </x:c>
      <x:c r="B127" s="26" t="str">
        <x:v>CFG-000022</x:v>
      </x:c>
      <x:c r="C127" s="26" t="str">
        <x:v>aeb</x:v>
      </x:c>
      <x:c r="D127" s="26" t="str">
        <x:v>STANDARD</x:v>
      </x:c>
      <x:c r="E127" s="26" t="str">
        <x:v>VERIFIED</x:v>
      </x:c>
      <x:c r="F127" s="26" t="str">
        <x:v>SCALE_BATCH_01 exact trim evidence.</x:v>
      </x:c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 t="str">
        <x:v>EQP-000127</x:v>
      </x:c>
      <x:c r="B128" s="26" t="str">
        <x:v>CFG-000022</x:v>
      </x:c>
      <x:c r="C128" s="26" t="str">
        <x:v>adaptive_cruise_control</x:v>
      </x:c>
      <x:c r="D128" s="26" t="str">
        <x:v>STANDARD</x:v>
      </x:c>
      <x:c r="E128" s="26" t="str">
        <x:v>VERIFIED</x:v>
      </x:c>
      <x:c r="F128" s="26" t="str">
        <x:v>SCALE_BATCH_01 exact trim evidence.</x:v>
      </x:c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 t="str">
        <x:v>EQP-000128</x:v>
      </x:c>
      <x:c r="B129" s="26" t="str">
        <x:v>CFG-000022</x:v>
      </x:c>
      <x:c r="C129" s="26" t="str">
        <x:v>lane_keep_assist</x:v>
      </x:c>
      <x:c r="D129" s="26" t="str">
        <x:v>STANDARD</x:v>
      </x:c>
      <x:c r="E129" s="26" t="str">
        <x:v>VERIFIED</x:v>
      </x:c>
      <x:c r="F129" s="26" t="str">
        <x:v>SCALE_BATCH_01 exact trim evidence.</x:v>
      </x:c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 t="str">
        <x:v>EQP-000129</x:v>
      </x:c>
      <x:c r="B130" s="26" t="str">
        <x:v>CFG-000022</x:v>
      </x:c>
      <x:c r="C130" s="26" t="str">
        <x:v>blind_spot_monitor</x:v>
      </x:c>
      <x:c r="D130" s="26" t="str">
        <x:v>STANDARD</x:v>
      </x:c>
      <x:c r="E130" s="26" t="str">
        <x:v>VERIFIED</x:v>
      </x:c>
      <x:c r="F130" s="26" t="str">
        <x:v>SCALE_BATCH_01 exact trim evidence.</x:v>
      </x:c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 t="str">
        <x:v>EQP-000130</x:v>
      </x:c>
      <x:c r="B131" s="26" t="str">
        <x:v>CFG-000022</x:v>
      </x:c>
      <x:c r="C131" s="26" t="str">
        <x:v>rear_cross_traffic_alert</x:v>
      </x:c>
      <x:c r="D131" s="26" t="str">
        <x:v>STANDARD</x:v>
      </x:c>
      <x:c r="E131" s="26" t="str">
        <x:v>VERIFIED</x:v>
      </x:c>
      <x:c r="F131" s="26" t="str">
        <x:v>SCALE_BATCH_01 exact trim evidence.</x:v>
      </x:c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 t="str">
        <x:v>EQP-000131</x:v>
      </x:c>
      <x:c r="B132" s="26" t="str">
        <x:v>CFG-000022</x:v>
      </x:c>
      <x:c r="C132" s="26" t="str">
        <x:v>reversing_camera</x:v>
      </x:c>
      <x:c r="D132" s="26" t="str">
        <x:v>STANDARD</x:v>
      </x:c>
      <x:c r="E132" s="26" t="str">
        <x:v>VERIFIED</x:v>
      </x:c>
      <x:c r="F132" s="26" t="str">
        <x:v>SCALE_BATCH_01 exact trim evidence.</x:v>
      </x:c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 t="str">
        <x:v>EQP-000132</x:v>
      </x:c>
      <x:c r="B133" s="26" t="str">
        <x:v>CFG-000023</x:v>
      </x:c>
      <x:c r="C133" s="26" t="str">
        <x:v>aeb</x:v>
      </x:c>
      <x:c r="D133" s="26" t="str">
        <x:v>STANDARD</x:v>
      </x:c>
      <x:c r="E133" s="26" t="str">
        <x:v>VERIFIED</x:v>
      </x:c>
      <x:c r="F133" s="26" t="str">
        <x:v>SCALE_BATCH_01 exact trim evidence.</x:v>
      </x:c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 t="str">
        <x:v>EQP-000133</x:v>
      </x:c>
      <x:c r="B134" s="26" t="str">
        <x:v>CFG-000023</x:v>
      </x:c>
      <x:c r="C134" s="26" t="str">
        <x:v>lane_keep_assist</x:v>
      </x:c>
      <x:c r="D134" s="26" t="str">
        <x:v>STANDARD</x:v>
      </x:c>
      <x:c r="E134" s="26" t="str">
        <x:v>VERIFIED</x:v>
      </x:c>
      <x:c r="F134" s="26" t="str">
        <x:v>SCALE_BATCH_01 exact trim evidence.</x:v>
      </x:c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 t="str">
        <x:v>EQP-000134</x:v>
      </x:c>
      <x:c r="B135" s="26" t="str">
        <x:v>CFG-000023</x:v>
      </x:c>
      <x:c r="C135" s="26" t="str">
        <x:v>parking_sensors_rear</x:v>
      </x:c>
      <x:c r="D135" s="26" t="str">
        <x:v>STANDARD</x:v>
      </x:c>
      <x:c r="E135" s="26" t="str">
        <x:v>VERIFIED</x:v>
      </x:c>
      <x:c r="F135" s="26" t="str">
        <x:v>SCALE_BATCH_01 exact trim evidence.</x:v>
      </x:c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 t="str">
        <x:v>EQP-000135</x:v>
      </x:c>
      <x:c r="B136" s="26" t="str">
        <x:v>CFG-000023</x:v>
      </x:c>
      <x:c r="C136" s="26" t="str">
        <x:v>reversing_camera</x:v>
      </x:c>
      <x:c r="D136" s="26" t="str">
        <x:v>STANDARD</x:v>
      </x:c>
      <x:c r="E136" s="26" t="str">
        <x:v>VERIFIED</x:v>
      </x:c>
      <x:c r="F136" s="26" t="str">
        <x:v>SCALE_BATCH_01 exact trim evidence.</x:v>
      </x:c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 t="str">
        <x:v>EQP-000136</x:v>
      </x:c>
      <x:c r="B137" s="26" t="str">
        <x:v>CFG-000023</x:v>
      </x:c>
      <x:c r="C137" s="26" t="str">
        <x:v>apple_carplay</x:v>
      </x:c>
      <x:c r="D137" s="26" t="str">
        <x:v>STANDARD</x:v>
      </x:c>
      <x:c r="E137" s="26" t="str">
        <x:v>VERIFIED</x:v>
      </x:c>
      <x:c r="F137" s="26" t="str">
        <x:v>SCALE_BATCH_01 exact trim evidence.</x:v>
      </x:c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 t="str">
        <x:v>EQP-000137</x:v>
      </x:c>
      <x:c r="B138" s="26" t="str">
        <x:v>CFG-000023</x:v>
      </x:c>
      <x:c r="C138" s="26" t="str">
        <x:v>android_auto</x:v>
      </x:c>
      <x:c r="D138" s="26" t="str">
        <x:v>STANDARD</x:v>
      </x:c>
      <x:c r="E138" s="26" t="str">
        <x:v>VERIFIED</x:v>
      </x:c>
      <x:c r="F138" s="26" t="str">
        <x:v>SCALE_BATCH_01 exact trim evidence.</x:v>
      </x:c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 t="str">
        <x:v>EQP-000138</x:v>
      </x:c>
      <x:c r="B139" s="26" t="str">
        <x:v>CFG-000024</x:v>
      </x:c>
      <x:c r="C139" s="26" t="str">
        <x:v>aeb</x:v>
      </x:c>
      <x:c r="D139" s="26" t="str">
        <x:v>STANDARD</x:v>
      </x:c>
      <x:c r="E139" s="26" t="str">
        <x:v>VERIFIED</x:v>
      </x:c>
      <x:c r="F139" s="26" t="str">
        <x:v>SCALE_BATCH_01 exact trim evidence.</x:v>
      </x:c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 t="str">
        <x:v>EQP-000139</x:v>
      </x:c>
      <x:c r="B140" s="26" t="str">
        <x:v>CFG-000024</x:v>
      </x:c>
      <x:c r="C140" s="26" t="str">
        <x:v>lane_keep_assist</x:v>
      </x:c>
      <x:c r="D140" s="26" t="str">
        <x:v>STANDARD</x:v>
      </x:c>
      <x:c r="E140" s="26" t="str">
        <x:v>VERIFIED</x:v>
      </x:c>
      <x:c r="F140" s="26" t="str">
        <x:v>SCALE_BATCH_01 exact trim evidence.</x:v>
      </x:c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 t="str">
        <x:v>EQP-000140</x:v>
      </x:c>
      <x:c r="B141" s="26" t="str">
        <x:v>CFG-000024</x:v>
      </x:c>
      <x:c r="C141" s="26" t="str">
        <x:v>parking_sensors_rear</x:v>
      </x:c>
      <x:c r="D141" s="26" t="str">
        <x:v>STANDARD</x:v>
      </x:c>
      <x:c r="E141" s="26" t="str">
        <x:v>VERIFIED</x:v>
      </x:c>
      <x:c r="F141" s="26" t="str">
        <x:v>SCALE_BATCH_01 exact trim evidence.</x:v>
      </x:c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 t="str">
        <x:v>EQP-000141</x:v>
      </x:c>
      <x:c r="B142" s="26" t="str">
        <x:v>CFG-000024</x:v>
      </x:c>
      <x:c r="C142" s="26" t="str">
        <x:v>reversing_camera</x:v>
      </x:c>
      <x:c r="D142" s="26" t="str">
        <x:v>STANDARD</x:v>
      </x:c>
      <x:c r="E142" s="26" t="str">
        <x:v>VERIFIED</x:v>
      </x:c>
      <x:c r="F142" s="26" t="str">
        <x:v>SCALE_BATCH_01 exact trim evidence.</x:v>
      </x:c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 t="str">
        <x:v>EQP-000142</x:v>
      </x:c>
      <x:c r="B143" s="26" t="str">
        <x:v>CFG-000024</x:v>
      </x:c>
      <x:c r="C143" s="26" t="str">
        <x:v>apple_carplay</x:v>
      </x:c>
      <x:c r="D143" s="26" t="str">
        <x:v>STANDARD</x:v>
      </x:c>
      <x:c r="E143" s="26" t="str">
        <x:v>VERIFIED</x:v>
      </x:c>
      <x:c r="F143" s="26" t="str">
        <x:v>SCALE_BATCH_01 exact trim evidence.</x:v>
      </x:c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 t="str">
        <x:v>EQP-000143</x:v>
      </x:c>
      <x:c r="B144" s="26" t="str">
        <x:v>CFG-000024</x:v>
      </x:c>
      <x:c r="C144" s="26" t="str">
        <x:v>android_auto</x:v>
      </x:c>
      <x:c r="D144" s="26" t="str">
        <x:v>STANDARD</x:v>
      </x:c>
      <x:c r="E144" s="26" t="str">
        <x:v>VERIFIED</x:v>
      </x:c>
      <x:c r="F144" s="26" t="str">
        <x:v>SCALE_BATCH_01 exact trim evidence.</x:v>
      </x:c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 t="str">
        <x:v>EQP-000144</x:v>
      </x:c>
      <x:c r="B145" s="26" t="str">
        <x:v>CFG-000025</x:v>
      </x:c>
      <x:c r="C145" s="26" t="str">
        <x:v>aeb</x:v>
      </x:c>
      <x:c r="D145" s="26" t="str">
        <x:v>STANDARD</x:v>
      </x:c>
      <x:c r="E145" s="26" t="str">
        <x:v>VERIFIED</x:v>
      </x:c>
      <x:c r="F145" s="26" t="str">
        <x:v>SCALE_BATCH_01 exact trim evidence.</x:v>
      </x:c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 t="str">
        <x:v>EQP-000145</x:v>
      </x:c>
      <x:c r="B146" s="26" t="str">
        <x:v>CFG-000025</x:v>
      </x:c>
      <x:c r="C146" s="26" t="str">
        <x:v>adaptive_cruise_control</x:v>
      </x:c>
      <x:c r="D146" s="26" t="str">
        <x:v>STANDARD</x:v>
      </x:c>
      <x:c r="E146" s="26" t="str">
        <x:v>VERIFIED</x:v>
      </x:c>
      <x:c r="F146" s="26" t="str">
        <x:v>SCALE_BATCH_01 exact trim evidence.</x:v>
      </x:c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 t="str">
        <x:v>EQP-000146</x:v>
      </x:c>
      <x:c r="B147" s="26" t="str">
        <x:v>CFG-000025</x:v>
      </x:c>
      <x:c r="C147" s="26" t="str">
        <x:v>lane_keep_assist</x:v>
      </x:c>
      <x:c r="D147" s="26" t="str">
        <x:v>STANDARD</x:v>
      </x:c>
      <x:c r="E147" s="26" t="str">
        <x:v>VERIFIED</x:v>
      </x:c>
      <x:c r="F147" s="26" t="str">
        <x:v>SCALE_BATCH_01 exact trim evidence.</x:v>
      </x:c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 t="str">
        <x:v>EQP-000147</x:v>
      </x:c>
      <x:c r="B148" s="26" t="str">
        <x:v>CFG-000025</x:v>
      </x:c>
      <x:c r="C148" s="26" t="str">
        <x:v>blind_spot_monitor</x:v>
      </x:c>
      <x:c r="D148" s="26" t="str">
        <x:v>STANDARD</x:v>
      </x:c>
      <x:c r="E148" s="26" t="str">
        <x:v>VERIFIED</x:v>
      </x:c>
      <x:c r="F148" s="26" t="str">
        <x:v>SCALE_BATCH_01 exact trim evidence.</x:v>
      </x:c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 t="str">
        <x:v>EQP-000148</x:v>
      </x:c>
      <x:c r="B149" s="26" t="str">
        <x:v>CFG-000025</x:v>
      </x:c>
      <x:c r="C149" s="26" t="str">
        <x:v>rear_cross_traffic_alert</x:v>
      </x:c>
      <x:c r="D149" s="26" t="str">
        <x:v>STANDARD</x:v>
      </x:c>
      <x:c r="E149" s="26" t="str">
        <x:v>VERIFIED</x:v>
      </x:c>
      <x:c r="F149" s="26" t="str">
        <x:v>SCALE_BATCH_01 exact trim evidence.</x:v>
      </x:c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 t="str">
        <x:v>EQP-000149</x:v>
      </x:c>
      <x:c r="B150" s="26" t="str">
        <x:v>CFG-000026</x:v>
      </x:c>
      <x:c r="C150" s="26" t="str">
        <x:v>adaptive_cruise_control</x:v>
      </x:c>
      <x:c r="D150" s="26" t="str">
        <x:v>STANDARD</x:v>
      </x:c>
      <x:c r="E150" s="26" t="str">
        <x:v>VERIFIED</x:v>
      </x:c>
      <x:c r="F150" s="26" t="str">
        <x:v>SCALE_BATCH_01 exact trim evidence.</x:v>
      </x:c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 t="str">
        <x:v>EQP-000150</x:v>
      </x:c>
      <x:c r="B151" s="26" t="str">
        <x:v>CFG-000026</x:v>
      </x:c>
      <x:c r="C151" s="26" t="str">
        <x:v>parking_sensors_rear</x:v>
      </x:c>
      <x:c r="D151" s="26" t="str">
        <x:v>STANDARD</x:v>
      </x:c>
      <x:c r="E151" s="26" t="str">
        <x:v>VERIFIED</x:v>
      </x:c>
      <x:c r="F151" s="26" t="str">
        <x:v>SCALE_BATCH_01 exact trim evidence.</x:v>
      </x:c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 t="str">
        <x:v>EQP-000151</x:v>
      </x:c>
      <x:c r="B152" s="26" t="str">
        <x:v>CFG-000026</x:v>
      </x:c>
      <x:c r="C152" s="26" t="str">
        <x:v>parking_sensors_front</x:v>
      </x:c>
      <x:c r="D152" s="26" t="str">
        <x:v>STANDARD</x:v>
      </x:c>
      <x:c r="E152" s="26" t="str">
        <x:v>VERIFIED</x:v>
      </x:c>
      <x:c r="F152" s="26" t="str">
        <x:v>SCALE_BATCH_01 exact trim evidence.</x:v>
      </x:c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 t="str">
        <x:v>EQP-000152</x:v>
      </x:c>
      <x:c r="B153" s="26" t="str">
        <x:v>CFG-000026</x:v>
      </x:c>
      <x:c r="C153" s="26" t="str">
        <x:v>reversing_camera</x:v>
      </x:c>
      <x:c r="D153" s="26" t="str">
        <x:v>STANDARD</x:v>
      </x:c>
      <x:c r="E153" s="26" t="str">
        <x:v>VERIFIED</x:v>
      </x:c>
      <x:c r="F153" s="26" t="str">
        <x:v>SCALE_BATCH_01 exact trim evidence.</x:v>
      </x:c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 t="str">
        <x:v>EQP-000153</x:v>
      </x:c>
      <x:c r="B154" s="26" t="str">
        <x:v>CFG-000026</x:v>
      </x:c>
      <x:c r="C154" s="26" t="str">
        <x:v>apple_carplay</x:v>
      </x:c>
      <x:c r="D154" s="26" t="str">
        <x:v>STANDARD</x:v>
      </x:c>
      <x:c r="E154" s="26" t="str">
        <x:v>VERIFIED</x:v>
      </x:c>
      <x:c r="F154" s="26" t="str">
        <x:v>SCALE_BATCH_01 exact trim evidence.</x:v>
      </x:c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 t="str">
        <x:v>EQP-000154</x:v>
      </x:c>
      <x:c r="B155" s="26" t="str">
        <x:v>CFG-000026</x:v>
      </x:c>
      <x:c r="C155" s="26" t="str">
        <x:v>android_auto</x:v>
      </x:c>
      <x:c r="D155" s="26" t="str">
        <x:v>STANDARD</x:v>
      </x:c>
      <x:c r="E155" s="26" t="str">
        <x:v>VERIFIED</x:v>
      </x:c>
      <x:c r="F155" s="26" t="str">
        <x:v>SCALE_BATCH_01 exact trim evidence.</x:v>
      </x:c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2">
      <x:c r="A502" s="32"/>
      <x:c r="B502" s="32"/>
      <x:c r="C502" s="32"/>
      <x:c r="D502" s="32"/>
      <x:c r="E502" s="32"/>
      <x:c r="F502" s="32"/>
    </x:row>
    <x:row r="503">
      <x:c r="A503" s="32"/>
      <x:c r="B503" s="32"/>
      <x:c r="C503" s="32"/>
      <x:c r="D503" s="32"/>
      <x:c r="E503" s="32"/>
      <x:c r="F503" s="32"/>
    </x:row>
  </x:sheetData>
  <x:dataValidations count="2">
    <x:dataValidation type="list" sqref="D2:D500">
      <x:formula1>'12_LISTS'!$B$84:$B$87</x:formula1>
    </x:dataValidation>
    <x:dataValidation type="list" sqref="E2:E500">
      <x:formula1>'12_LISTS'!$B$78:$B$83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17d03cb4ea460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14" hidden="0" customWidth="1"/>
    <x:col min="6" max="6" width="20" hidden="0" customWidth="1"/>
    <x:col min="7" max="7" width="20" hidden="0" customWidth="1"/>
    <x:col min="8" max="8" width="24" hidden="0" customWidth="1"/>
    <x:col min="9" max="9" width="20" hidden="0" customWidth="1"/>
    <x:col min="10" max="10" width="22" hidden="0" customWidth="1"/>
    <x:col min="11" max="11" width="40" hidden="0" customWidth="1"/>
  </x:cols>
  <x:sheetData>
    <x:row r="1">
      <x:c r="A1" s="6" t="str">
        <x:v>safety_id</x:v>
      </x:c>
      <x:c r="B1" s="6" t="str">
        <x:v>generation_id</x:v>
      </x:c>
      <x:c r="C1" s="6" t="str">
        <x:v>assessment_body</x:v>
      </x:c>
      <x:c r="D1" s="6" t="str">
        <x:v>assessment_year</x:v>
      </x:c>
      <x:c r="E1" s="6" t="str">
        <x:v>overall_rating</x:v>
      </x:c>
      <x:c r="F1" s="6" t="str">
        <x:v>adult_occupant_score</x:v>
      </x:c>
      <x:c r="G1" s="6" t="str">
        <x:v>child_occupant_score</x:v>
      </x:c>
      <x:c r="H1" s="6" t="str">
        <x:v>vulnerable_road_user_score</x:v>
      </x:c>
      <x:c r="I1" s="6" t="str">
        <x:v>safety_assist_score</x:v>
      </x:c>
      <x:c r="J1" s="6" t="str">
        <x:v>applicability_status</x:v>
      </x:c>
      <x:c r="K1" s="6" t="str">
        <x:v>notes</x:v>
      </x:c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2">
      <x:c r="A502" s="32"/>
      <x:c r="B502" s="32"/>
      <x:c r="C502" s="32"/>
      <x:c r="D502" s="32"/>
      <x:c r="E502" s="32"/>
      <x:c r="F502" s="32"/>
    </x:row>
    <x:row r="503">
      <x:c r="A503" s="32"/>
      <x:c r="B503" s="32"/>
      <x:c r="C503" s="32"/>
      <x:c r="D503" s="32"/>
      <x:c r="E503" s="32"/>
      <x:c r="F503" s="32"/>
    </x:row>
  </x:sheetData>
  <x:dataValidations count="2">
    <x:dataValidation type="list" sqref="C2:C500">
      <x:formula1>'12_LISTS'!$B$88:$B$92</x:formula1>
    </x:dataValidation>
    <x:dataValidation type="list" sqref="J2:J500">
      <x:formula1>'12_LISTS'!$B$93:$B$97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b9f993bee64a1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6" hidden="0" customWidth="1"/>
    <x:col min="4" max="4" width="24" hidden="0" customWidth="1"/>
    <x:col min="5" max="5" width="48" hidden="0" customWidth="1"/>
    <x:col min="6" max="6" width="10" hidden="0" customWidth="1"/>
    <x:col min="7" max="7" width="16" hidden="0" customWidth="1"/>
    <x:col min="8" max="8" width="16" hidden="0" customWidth="1"/>
    <x:col min="9" max="9" width="28" hidden="0" customWidth="1"/>
    <x:col min="10" max="10" width="18" hidden="0" customWidth="1"/>
    <x:col min="11" max="11" width="40" hidden="0" customWidth="1"/>
  </x:cols>
  <x:sheetData>
    <x:row r="1">
      <x:c r="A1" s="6" t="str">
        <x:v>source_id</x:v>
      </x:c>
      <x:c r="B1" s="6" t="str">
        <x:v>publisher</x:v>
      </x:c>
      <x:c r="C1" s="6" t="str">
        <x:v>source_title</x:v>
      </x:c>
      <x:c r="D1" s="6" t="str">
        <x:v>source_type</x:v>
      </x:c>
      <x:c r="E1" s="6" t="str">
        <x:v>source_url</x:v>
      </x:c>
      <x:c r="F1" s="6" t="str">
        <x:v>market</x:v>
      </x:c>
      <x:c r="G1" s="6" t="str">
        <x:v>publication_date</x:v>
      </x:c>
      <x:c r="H1" s="6" t="str">
        <x:v>retrieved_at</x:v>
      </x:c>
      <x:c r="I1" s="6" t="str">
        <x:v>authority_class</x:v>
      </x:c>
      <x:c r="J1" s="6" t="str">
        <x:v>source_status</x:v>
      </x:c>
      <x:c r="K1" s="6" t="str">
        <x:v>notes</x:v>
      </x:c>
      <x:c r="L1" t="str">
        <x:v>source_url_canonical</x:v>
      </x:c>
      <x:c r="M1" t="str">
        <x:v>source_version_label</x:v>
      </x:c>
      <x:c r="N1" t="str">
        <x:v>source_observed_at</x:v>
      </x:c>
      <x:c r="O1" t="str">
        <x:v>source_content_hash</x:v>
      </x:c>
      <x:c r="P1" t="str">
        <x:v>source_snapshot_ref</x:v>
      </x:c>
    </x:row>
    <x:row r="2">
      <x:c r="A2" s="26" t="str">
        <x:v>SRC-000001</x:v>
      </x:c>
      <x:c r="B2" s="26" t="str">
        <x:v>Renault Türkiye</x:v>
      </x:c>
      <x:c r="C2" s="26" t="str">
        <x:v>Yeni Renault Clio</x:v>
      </x:c>
      <x:c r="D2" s="26" t="str">
        <x:v>OFFICIAL_WEB</x:v>
      </x:c>
      <x:c r="E2" s="26" t="str">
        <x:v>https://www.renault.com.tr/hybrid-araclar/yeni-clio.html</x:v>
      </x:c>
      <x:c r="F2" s="26" t="str">
        <x:v>TR</x:v>
      </x:c>
      <x:c r="G2" s="36" t="str"/>
      <x:c r="H2" s="36" t="n">
        <x:v>46248</x:v>
      </x:c>
      <x:c r="I2" s="26" t="str">
        <x:v>A1_OFFICIAL_MARKET</x:v>
      </x:c>
      <x:c r="J2" s="26" t="str">
        <x:v>ACTIVE</x:v>
      </x:c>
      <x:c r="K2" s="26" t="str">
        <x:v>Current product page; TCe 115 explicitly stated.</x:v>
      </x:c>
      <x:c r="L2" s="26" t="str">
        <x:v>https://www.renault.com.tr/hybrid-araclar/yeni-clio.html</x:v>
      </x:c>
      <x:c r="M2" s="26" t="str">
        <x:v>observed 2026-08-14</x:v>
      </x:c>
      <x:c r="N2" s="26" t="n">
        <x:v>46248</x:v>
      </x:c>
      <x:c r="O2" s="26" t="str">
        <x:v>8ffab05c6aad77ca34aec31f9e3d43b3a514920d51c53e877a4118139a2d2a98</x:v>
      </x:c>
      <x:c r="P2" s="26" t="str">
        <x:v>data/cars/vehicle_evidence/source_snapshots/SRC-000001/2026-08-14/source.html</x:v>
      </x:c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SRC-000002</x:v>
      </x:c>
      <x:c r="B3" s="26" t="str">
        <x:v>Fiat Türkiye</x:v>
      </x:c>
      <x:c r="C3" s="26" t="str">
        <x:v>Egea Dizel Ağustos 2026 Kampanyası</x:v>
      </x:c>
      <x:c r="D3" s="26" t="str">
        <x:v>OFFICIAL_WEB</x:v>
      </x:c>
      <x:c r="E3" s="26" t="str">
        <x:v>https://www.fiat.com.tr/kampanyalar/satis/boyle-firsat-olsa-olsa-egeada-olur</x:v>
      </x:c>
      <x:c r="F3" s="26" t="str">
        <x:v>TR</x:v>
      </x:c>
      <x:c r="G3" s="36" t="str"/>
      <x:c r="H3" s="36" t="n">
        <x:v>46248</x:v>
      </x:c>
      <x:c r="I3" s="26" t="str">
        <x:v>A1_OFFICIAL_MARKET</x:v>
      </x:c>
      <x:c r="J3" s="26" t="str">
        <x:v>ACTIVE</x:v>
      </x:c>
      <x:c r="K3" s="26" t="str">
        <x:v>Confirms 2026 Egea Sedan 1.6 M.Jet 130 HP campaign.</x:v>
      </x:c>
      <x:c r="L3" s="26" t="str">
        <x:v>https://www.fiat.com.tr/kampanyalar/satis/boyle-firsat-olsa-olsa-egeada-olur</x:v>
      </x:c>
      <x:c r="M3" s="26" t="str">
        <x:v>observed 2026-08-14</x:v>
      </x:c>
      <x:c r="N3" s="26" t="n">
        <x:v>46248</x:v>
      </x:c>
      <x:c r="O3" s="26" t="str">
        <x:v>c32ba4e7c9036d3a28a2f70d6e39420784b160eee5b5681c4cd95fd26a2f97d1</x:v>
      </x:c>
      <x:c r="P3" s="26" t="str">
        <x:v>data/cars/vehicle_evidence/source_snapshots/SRC-000002/2026-08-14/source.html</x:v>
      </x:c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SRC-000003</x:v>
      </x:c>
      <x:c r="B4" s="26" t="str">
        <x:v>Toyota Türkiye</x:v>
      </x:c>
      <x:c r="C4" s="26" t="str">
        <x:v>Toyota Corolla Sedan</x:v>
      </x:c>
      <x:c r="D4" s="26" t="str">
        <x:v>OFFICIAL_WEB</x:v>
      </x:c>
      <x:c r="E4" s="26" t="str">
        <x:v>https://www.toyota.com.tr/araba-modelleri/corolla-sedan</x:v>
      </x:c>
      <x:c r="F4" s="26" t="str">
        <x:v>TR</x:v>
      </x:c>
      <x:c r="G4" s="36" t="str"/>
      <x:c r="H4" s="36" t="n">
        <x:v>46248</x:v>
      </x:c>
      <x:c r="I4" s="26" t="str">
        <x:v>A1_OFFICIAL_MARKET</x:v>
      </x:c>
      <x:c r="J4" s="26" t="str">
        <x:v>ACTIVE</x:v>
      </x:c>
      <x:c r="K4" s="26" t="str">
        <x:v>Current Corolla Hybrid official model page.</x:v>
      </x:c>
      <x:c r="L4" s="26" t="str">
        <x:v>https://www.toyota.com.tr/araba-modelleri/corolla-sedan</x:v>
      </x:c>
      <x:c r="M4" s="26" t="str">
        <x:v>observed 2026-08-14</x:v>
      </x:c>
      <x:c r="N4" s="26" t="n">
        <x:v>46248</x:v>
      </x:c>
      <x:c r="O4" s="26" t="str">
        <x:v>8c68b701de7172ca59c98eab8e2fa100c5771bfa5db54e8add8834b77ba3a800</x:v>
      </x:c>
      <x:c r="P4" s="26" t="str">
        <x:v>data/cars/vehicle_evidence/source_snapshots/SRC-000003/2026-08-14/source.html</x:v>
      </x:c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SRC-000004</x:v>
      </x:c>
      <x:c r="B5" s="26" t="str">
        <x:v>Suzuki Türkiye</x:v>
      </x:c>
      <x:c r="C5" s="26" t="str">
        <x:v>Vitara Hibrit</x:v>
      </x:c>
      <x:c r="D5" s="26" t="str">
        <x:v>OFFICIAL_WEB</x:v>
      </x:c>
      <x:c r="E5" s="26" t="str">
        <x:v>https://www.suzuki.com.tr/tr/otomobil/vitara-hibrit.html</x:v>
      </x:c>
      <x:c r="F5" s="26" t="str">
        <x:v>TR</x:v>
      </x:c>
      <x:c r="G5" s="36" t="str"/>
      <x:c r="H5" s="36" t="n">
        <x:v>46248</x:v>
      </x:c>
      <x:c r="I5" s="26" t="str">
        <x:v>A1_OFFICIAL_MARKET</x:v>
      </x:c>
      <x:c r="J5" s="26" t="str">
        <x:v>ACTIVE</x:v>
      </x:c>
      <x:c r="K5" s="26" t="str">
        <x:v>Current product page.</x:v>
      </x:c>
      <x:c r="L5" s="26" t="str">
        <x:v>https://www.suzuki.com.tr/tr/otomobil/vitara-hibrit.html</x:v>
      </x:c>
      <x:c r="M5" s="26" t="str">
        <x:v>observed 2026-08-14</x:v>
      </x:c>
      <x:c r="N5" s="26" t="n">
        <x:v>46248</x:v>
      </x:c>
      <x:c r="O5" s="26" t="str">
        <x:v>55d452c83fafca9cfcf84fb8f47dded0a5cb28a36ab479ba9744f8843f6f81ce</x:v>
      </x:c>
      <x:c r="P5" s="26" t="str">
        <x:v>data/cars/vehicle_evidence/source_snapshots/SRC-000004/2026-08-14/source.html</x:v>
      </x:c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SRC-000005</x:v>
      </x:c>
      <x:c r="B6" s="26" t="str">
        <x:v>Suzuki Türkiye</x:v>
      </x:c>
      <x:c r="C6" s="26" t="str">
        <x:v>Suzuki Otomobil Güncel Fiyat Listesi</x:v>
      </x:c>
      <x:c r="D6" s="26" t="str">
        <x:v>OFFICIAL_PRICE_LIST</x:v>
      </x:c>
      <x:c r="E6" s="26" t="str">
        <x:v>https://www.suzuki.com.tr/tr/otomobil/fiyat-listesi.html</x:v>
      </x:c>
      <x:c r="F6" s="26" t="str">
        <x:v>TR</x:v>
      </x:c>
      <x:c r="G6" s="36" t="str"/>
      <x:c r="H6" s="36" t="n">
        <x:v>46248</x:v>
      </x:c>
      <x:c r="I6" s="26" t="str">
        <x:v>A1_OFFICIAL_MARKET</x:v>
      </x:c>
      <x:c r="J6" s="26" t="str">
        <x:v>ACTIVE</x:v>
      </x:c>
      <x:c r="K6" s="26" t="str">
        <x:v>2026 configurations including MHEV/AllGrip.</x:v>
      </x:c>
      <x:c r="L6" s="26" t="str">
        <x:v>https://www.suzuki.com.tr/tr/otomobil/fiyat-listesi.html</x:v>
      </x:c>
      <x:c r="M6" s="26" t="str">
        <x:v>observed 2026-08-14</x:v>
      </x:c>
      <x:c r="N6" s="26" t="n">
        <x:v>46248</x:v>
      </x:c>
      <x:c r="O6" s="26" t="str">
        <x:v>29f0c3d37d267140178525ad82fab7f338657922c7694180e21a67cfd691a88d</x:v>
      </x:c>
      <x:c r="P6" s="26" t="str">
        <x:v>data/cars/vehicle_evidence/source_snapshots/SRC-000005/2026-08-14/source.html</x:v>
      </x:c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SRC-000006</x:v>
      </x:c>
      <x:c r="B7" s="26" t="str">
        <x:v>BYD Türkiye</x:v>
      </x:c>
      <x:c r="C7" s="26" t="str">
        <x:v>BYD SEAL U DM-i</x:v>
      </x:c>
      <x:c r="D7" s="26" t="str">
        <x:v>OFFICIAL_TECH_SPEC</x:v>
      </x:c>
      <x:c r="E7" s="26" t="str">
        <x:v>https://www.bydauto.com.tr/sealu-dmi</x:v>
      </x:c>
      <x:c r="F7" s="26" t="str">
        <x:v>TR</x:v>
      </x:c>
      <x:c r="G7" s="36" t="str"/>
      <x:c r="H7" s="36" t="n">
        <x:v>46248</x:v>
      </x:c>
      <x:c r="I7" s="26" t="str">
        <x:v>A1_OFFICIAL_MARKET</x:v>
      </x:c>
      <x:c r="J7" s="26" t="str">
        <x:v>ACTIVE</x:v>
      </x:c>
      <x:c r="K7" s="26" t="str">
        <x:v>Structured technical values on official product page.</x:v>
      </x:c>
      <x:c r="L7" s="26" t="str">
        <x:v>https://www.bydauto.com.tr/sealu-dmi</x:v>
      </x:c>
      <x:c r="M7" s="26" t="str">
        <x:v>observed 2026-08-14</x:v>
      </x:c>
      <x:c r="N7" s="26" t="n">
        <x:v>46248</x:v>
      </x:c>
      <x:c r="O7" s="26" t="str">
        <x:v>0e7022002dba1244d7a37e8d7b60fb8d09b6b843718170a5d7dceac55a22b68a</x:v>
      </x:c>
      <x:c r="P7" s="26" t="str">
        <x:v>data/cars/vehicle_evidence/source_snapshots/SRC-000006/2026-08-14/source.html</x:v>
      </x:c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SRC-000007</x:v>
      </x:c>
      <x:c r="B8" s="26" t="str">
        <x:v>Kia Türkiye</x:v>
      </x:c>
      <x:c r="C8" s="26" t="str">
        <x:v>2026 Model Fiyat Listesi</x:v>
      </x:c>
      <x:c r="D8" s="26" t="str">
        <x:v>OFFICIAL_PRICE_LIST</x:v>
      </x:c>
      <x:c r="E8" s="26" t="str">
        <x:v>https://kia.com.tr/satis-merkezi/fiyat-listesi</x:v>
      </x:c>
      <x:c r="F8" s="26" t="str">
        <x:v>TR</x:v>
      </x:c>
      <x:c r="G8" s="36" t="n">
        <x:v>46247</x:v>
      </x:c>
      <x:c r="H8" s="36" t="n">
        <x:v>46248</x:v>
      </x:c>
      <x:c r="I8" s="26" t="str">
        <x:v>A1_OFFICIAL_MARKET</x:v>
      </x:c>
      <x:c r="J8" s="26" t="str">
        <x:v>ACTIVE</x:v>
      </x:c>
      <x:c r="K8" s="26" t="str">
        <x:v>Official list valid from 13 Aug 2026; EV3 configurations listed.</x:v>
      </x:c>
      <x:c r="L8" s="26" t="str">
        <x:v>https://kia.com.tr/satis-merkezi/fiyat-listesi</x:v>
      </x:c>
      <x:c r="M8" s="26" t="str">
        <x:v>published-46247</x:v>
      </x:c>
      <x:c r="N8" s="26" t="n">
        <x:v>46248</x:v>
      </x:c>
      <x:c r="O8" s="26" t="str">
        <x:v>bf151bf0ef1bfd59850c54fdeb5f634f62919fd2f1f8e02e8912a7881e80aa6d</x:v>
      </x:c>
      <x:c r="P8" s="26" t="str">
        <x:v>data/cars/vehicle_evidence/source_snapshots/SRC-000007/2026-08-14/source.html</x:v>
      </x:c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SRC-000008</x:v>
      </x:c>
      <x:c r="B9" s="26" t="str">
        <x:v>Togg</x:v>
      </x:c>
      <x:c r="C9" s="26" t="str">
        <x:v>T10X</x:v>
      </x:c>
      <x:c r="D9" s="26" t="str">
        <x:v>OFFICIAL_TECH_SPEC</x:v>
      </x:c>
      <x:c r="E9" s="26" t="str">
        <x:v>https://www.togg.com.tr/t10x</x:v>
      </x:c>
      <x:c r="F9" s="26" t="str">
        <x:v>TR</x:v>
      </x:c>
      <x:c r="G9" s="36" t="str"/>
      <x:c r="H9" s="36" t="n">
        <x:v>46248</x:v>
      </x:c>
      <x:c r="I9" s="26" t="str">
        <x:v>A1_OFFICIAL_MARKET</x:v>
      </x:c>
      <x:c r="J9" s="26" t="str">
        <x:v>ACTIVE</x:v>
      </x:c>
      <x:c r="K9" s="26" t="str">
        <x:v>Official T10X product/technical highlights.</x:v>
      </x:c>
      <x:c r="L9" s="26" t="str">
        <x:v>https://www.togg.com.tr/t10x</x:v>
      </x:c>
      <x:c r="M9" s="26" t="str">
        <x:v>observed 2026-08-14</x:v>
      </x:c>
      <x:c r="N9" s="26" t="n">
        <x:v>46248</x:v>
      </x:c>
      <x:c r="O9" s="26" t="str">
        <x:v>a5f17325c70e5658decbcf7c3b81ffb559edfffb66b219744e7422336c3a64d9</x:v>
      </x:c>
      <x:c r="P9" s="26" t="str">
        <x:v>data/cars/vehicle_evidence/source_snapshots/SRC-000008/2026-08-14/source.html</x:v>
      </x:c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SRC-000009</x:v>
      </x:c>
      <x:c r="B10" s="26" t="str">
        <x:v>Dacia Türkiye</x:v>
      </x:c>
      <x:c r="C10" s="26" t="str">
        <x:v>Yeni Sandero Stepway</x:v>
      </x:c>
      <x:c r="D10" s="26" t="str">
        <x:v>OFFICIAL_WEB</x:v>
      </x:c>
      <x:c r="E10" s="26" t="str">
        <x:v>https://www.dacia.com.tr/modeller/yeni-sandero-stepway-bi1-ph2.html</x:v>
      </x:c>
      <x:c r="F10" s="26" t="str">
        <x:v>TR</x:v>
      </x:c>
      <x:c r="G10" s="36" t="str"/>
      <x:c r="H10" s="36" t="n">
        <x:v>46248</x:v>
      </x:c>
      <x:c r="I10" s="26" t="str">
        <x:v>A1_OFFICIAL_MARKET</x:v>
      </x:c>
      <x:c r="J10" s="26" t="str">
        <x:v>ACTIVE</x:v>
      </x:c>
      <x:c r="K10" s="26" t="str">
        <x:v>Official model page, Eco-G 120 EDC and equipment context.</x:v>
      </x:c>
      <x:c r="L10" s="26" t="str">
        <x:v>https://www.dacia.com.tr/modeller/yeni-sandero-stepway-bi1-ph2.html</x:v>
      </x:c>
      <x:c r="M10" s="26" t="str">
        <x:v>observed 2026-08-14</x:v>
      </x:c>
      <x:c r="N10" s="26" t="n">
        <x:v>46248</x:v>
      </x:c>
      <x:c r="O10" s="26" t="str">
        <x:v>1686ee2f9218bb5a358b29bbb18ddc2c84e2d23658b32ab94432c9042c284798</x:v>
      </x:c>
      <x:c r="P10" s="26" t="str">
        <x:v>data/cars/vehicle_evidence/source_snapshots/SRC-000009/2026-08-14/source.html</x:v>
      </x:c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SRC-000010</x:v>
      </x:c>
      <x:c r="B11" s="26" t="str">
        <x:v>Dacia Türkiye</x:v>
      </x:c>
      <x:c r="C11" s="26" t="str">
        <x:v>Ağustos 2026 Satış Kampanyaları</x:v>
      </x:c>
      <x:c r="D11" s="26" t="str">
        <x:v>OFFICIAL_WEB</x:v>
      </x:c>
      <x:c r="E11" s="26" t="str">
        <x:v>https://www.dacia.com.tr/kampanyalar/satis-kampanyalari.html</x:v>
      </x:c>
      <x:c r="F11" s="26" t="str">
        <x:v>TR</x:v>
      </x:c>
      <x:c r="G11" s="36" t="str"/>
      <x:c r="H11" s="36" t="n">
        <x:v>46248</x:v>
      </x:c>
      <x:c r="I11" s="26" t="str">
        <x:v>A1_OFFICIAL_MARKET</x:v>
      </x:c>
      <x:c r="J11" s="26" t="str">
        <x:v>ACTIVE</x:v>
      </x:c>
      <x:c r="K11" s="26" t="str">
        <x:v>Confirms MY2026 Sandero Stepway Expression Eco-G 120 auto.</x:v>
      </x:c>
      <x:c r="L11" s="26" t="str">
        <x:v>https://www.dacia.com.tr/kampanyalar/satis-kampanyalari.html</x:v>
      </x:c>
      <x:c r="M11" s="26" t="str">
        <x:v>observed 2026-08-14</x:v>
      </x:c>
      <x:c r="N11" s="26" t="n">
        <x:v>46248</x:v>
      </x:c>
      <x:c r="O11" s="26" t="str">
        <x:v>d6a332c302c1b5bd7e2a8744990524a1fcd3fcf79af7776bebd382bd1323f944</x:v>
      </x:c>
      <x:c r="P11" s="26" t="str">
        <x:v>data/cars/vehicle_evidence/source_snapshots/SRC-000010/2026-08-14/source.html</x:v>
      </x:c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SRC-000011</x:v>
      </x:c>
      <x:c r="B12" s="26" t="str">
        <x:v>Renault Türkiye</x:v>
      </x:c>
      <x:c r="C12" s="26" t="str">
        <x:v>Yeni Renault Clio — Teknik Özellikler</x:v>
      </x:c>
      <x:c r="D12" s="26" t="str">
        <x:v>OFFICIAL_TECH_SPEC</x:v>
      </x:c>
      <x:c r="E12" s="26" t="str">
        <x:v>https://www.renault.com.tr/hybrid-araclar/yeni-clio/teknik-bilgiler.html</x:v>
      </x:c>
      <x:c r="F12" s="26" t="str">
        <x:v>TR</x:v>
      </x:c>
      <x:c r="G12" s="36" t="str"/>
      <x:c r="H12" s="36" t="n">
        <x:v>46248</x:v>
      </x:c>
      <x:c r="I12" s="26" t="str">
        <x:v>A1_OFFICIAL_MARKET</x:v>
      </x:c>
      <x:c r="J12" s="26" t="str">
        <x:v>ACTIVE</x:v>
      </x:c>
      <x:c r="K12" s="26" t="str">
        <x:v>TCe EDC 115 evolution plus technical/equipment page.</x:v>
      </x:c>
      <x:c r="L12" s="26" t="str">
        <x:v>https://www.renault.com.tr/hybrid-araclar/yeni-clio/teknik-bilgiler.html</x:v>
      </x:c>
      <x:c r="M12" s="26" t="str">
        <x:v>observed 2026-08-14</x:v>
      </x:c>
      <x:c r="N12" s="26" t="n">
        <x:v>46248</x:v>
      </x:c>
      <x:c r="O12" s="26" t="str">
        <x:v>c6a7a4fc6ad7db376167bf12ba308f8e6a789ac8b984c079774456220fc7d6c7</x:v>
      </x:c>
      <x:c r="P12" s="26" t="str">
        <x:v>data/cars/vehicle_evidence/source_snapshots/SRC-000011/2026-08-14/source.html</x:v>
      </x:c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SRC-000012</x:v>
      </x:c>
      <x:c r="B13" s="26" t="str">
        <x:v>Fiat Türkiye</x:v>
      </x:c>
      <x:c r="C13" s="26" t="str">
        <x:v>Fiat Egea Sedan — Model, Versiyonlar ve Teknik Özellikler</x:v>
      </x:c>
      <x:c r="D13" s="26" t="str">
        <x:v>OFFICIAL_TECH_SPEC</x:v>
      </x:c>
      <x:c r="E13" s="26" t="str">
        <x:v>https://www.fiat.com.tr/modeller/egea/sedan</x:v>
      </x:c>
      <x:c r="F13" s="26" t="str">
        <x:v>TR</x:v>
      </x:c>
      <x:c r="G13" s="36" t="str"/>
      <x:c r="H13" s="36" t="n">
        <x:v>46248</x:v>
      </x:c>
      <x:c r="I13" s="26" t="str">
        <x:v>A1_OFFICIAL_MARKET</x:v>
      </x:c>
      <x:c r="J13" s="26" t="str">
        <x:v>ACTIVE</x:v>
      </x:c>
      <x:c r="K13" s="26" t="str">
        <x:v>Engine, dimensions and trim equipment.</x:v>
      </x:c>
      <x:c r="L13" s="26" t="str">
        <x:v>https://www.fiat.com.tr/modeller/egea/sedan</x:v>
      </x:c>
      <x:c r="M13" s="26" t="str">
        <x:v>observed 2026-08-14</x:v>
      </x:c>
      <x:c r="N13" s="26" t="n">
        <x:v>46248</x:v>
      </x:c>
      <x:c r="O13" s="26" t="str">
        <x:v>54ca138de6dd631c211e9df224e17186601ac801b9617d12bc4bc4374ab78782</x:v>
      </x:c>
      <x:c r="P13" s="26" t="str">
        <x:v>data/cars/vehicle_evidence/source_snapshots/SRC-000012/2026-08-14/source.html</x:v>
      </x:c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SRC-000013</x:v>
      </x:c>
      <x:c r="B14" s="26" t="str">
        <x:v>Toyota Türkiye</x:v>
      </x:c>
      <x:c r="C14" s="26" t="str">
        <x:v>Corolla Teknik ve Donanım Özellikleri — 01/2026</x:v>
      </x:c>
      <x:c r="D14" s="26" t="str">
        <x:v>OFFICIAL_BROCHURE</x:v>
      </x:c>
      <x:c r="E14" s="26" t="str">
        <x:v>https://www.toyota.com.tr/content/dam/toyota/nmsc/turkey/cars/e-brosur/corolla/Corolla-Teknik-ve-Donanim-Ozellikleri-01-2026.pdf</x:v>
      </x:c>
      <x:c r="F14" s="26" t="str">
        <x:v>TR</x:v>
      </x:c>
      <x:c r="G14" s="36" t="n">
        <x:v>46023</x:v>
      </x:c>
      <x:c r="H14" s="36" t="n">
        <x:v>46248</x:v>
      </x:c>
      <x:c r="I14" s="26" t="str">
        <x:v>A1_OFFICIAL_MARKET</x:v>
      </x:c>
      <x:c r="J14" s="26" t="str">
        <x:v>ACTIVE</x:v>
      </x:c>
      <x:c r="K14" s="26" t="str">
        <x:v>Official Jan 2026 Corolla brochure.</x:v>
      </x:c>
      <x:c r="L14" s="26" t="str">
        <x:v>https://www.toyota.com.tr/content/dam/toyota/nmsc/turkey/cars/e-brosur/corolla/Corolla-Teknik-ve-Donanim-Ozellikleri-01-2026.pdf</x:v>
      </x:c>
      <x:c r="M14" s="26" t="str">
        <x:v>published-46023</x:v>
      </x:c>
      <x:c r="N14" s="26" t="n">
        <x:v>46248</x:v>
      </x:c>
      <x:c r="O14" s="26" t="str">
        <x:v>4cd4cd1e78a05a1712776565aa1ac652eb72102d1e11541d747e7acaadf67ad3</x:v>
      </x:c>
      <x:c r="P14" s="26" t="str">
        <x:v>data/cars/vehicle_evidence/source_snapshots/SRC-000013/2026-08-14/source.pdf</x:v>
      </x:c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SRC-000015</x:v>
      </x:c>
      <x:c r="B15" s="26" t="str">
        <x:v>BYD Türkiye</x:v>
      </x:c>
      <x:c r="C15" s="26" t="str">
        <x:v>SEAL U DM-i Teknik Broşür — Mart 2026</x:v>
      </x:c>
      <x:c r="D15" s="26" t="str">
        <x:v>OFFICIAL_BROCHURE</x:v>
      </x:c>
      <x:c r="E15" s="26" t="str">
        <x:v>https://bydauto.mncdn.com/storage/pdf/byd-sealudmi-teknik-brosur-mart-2026.pdf</x:v>
      </x:c>
      <x:c r="F15" s="26" t="str">
        <x:v>TR</x:v>
      </x:c>
      <x:c r="G15" s="36" t="n">
        <x:v>46092</x:v>
      </x:c>
      <x:c r="H15" s="36" t="n">
        <x:v>46248</x:v>
      </x:c>
      <x:c r="I15" s="26" t="str">
        <x:v>A1_OFFICIAL_MARKET</x:v>
      </x:c>
      <x:c r="J15" s="26" t="str">
        <x:v>ACTIVE</x:v>
      </x:c>
      <x:c r="K15" s="26" t="str">
        <x:v>Official detailed technical/equipment brochure.</x:v>
      </x:c>
      <x:c r="L15" s="26" t="str">
        <x:v>https://bydauto.mncdn.com/storage/pdf/byd-sealudmi-teknik-brosur-mart-2026.pdf</x:v>
      </x:c>
      <x:c r="M15" s="26" t="str">
        <x:v>published-46092</x:v>
      </x:c>
      <x:c r="N15" s="26" t="n">
        <x:v>46248</x:v>
      </x:c>
      <x:c r="O15" s="26" t="str">
        <x:v>60068cbdde49cf70ce8fba13ce819351da7fa300eb5c0116c2023a4d29cb2468</x:v>
      </x:c>
      <x:c r="P15" s="26" t="str">
        <x:v>data/cars/vehicle_evidence/source_snapshots/SRC-000015/2026-08-14/source.pdf</x:v>
      </x:c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SRC-000016</x:v>
      </x:c>
      <x:c r="B16" s="26" t="str">
        <x:v>Kia Türkiye</x:v>
      </x:c>
      <x:c r="C16" s="26" t="str">
        <x:v>EV3 — Özellikler</x:v>
      </x:c>
      <x:c r="D16" s="26" t="str">
        <x:v>OFFICIAL_WEB</x:v>
      </x:c>
      <x:c r="E16" s="26" t="str">
        <x:v>https://www.kia.com/tr/modeller/ev3/ozellikler.html</x:v>
      </x:c>
      <x:c r="F16" s="26" t="str">
        <x:v>TR</x:v>
      </x:c>
      <x:c r="G16" s="36" t="str"/>
      <x:c r="H16" s="36" t="n">
        <x:v>46248</x:v>
      </x:c>
      <x:c r="I16" s="26" t="str">
        <x:v>A1_OFFICIAL_MARKET</x:v>
      </x:c>
      <x:c r="J16" s="26" t="str">
        <x:v>ACTIVE</x:v>
      </x:c>
      <x:c r="K16" s="26" t="str">
        <x:v>Current EV3 trims and equipment hierarchy.</x:v>
      </x:c>
      <x:c r="L16" s="26" t="str">
        <x:v>https://www.kia.com/tr/modeller/ev3/ozellikler.html</x:v>
      </x:c>
      <x:c r="M16" s="26" t="str">
        <x:v>observed 2026-08-14</x:v>
      </x:c>
      <x:c r="N16" s="26" t="n">
        <x:v>46248</x:v>
      </x:c>
      <x:c r="O16" s="26" t="str">
        <x:v>11c1ac3d13ce3a42cdee19c8c49cbee20c58f0d2710b090549d774dcbdabd611</x:v>
      </x:c>
      <x:c r="P16" s="26" t="str">
        <x:v>data/cars/vehicle_evidence/source_snapshots/SRC-000016/2026-08-14/source.html</x:v>
      </x:c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SRC-000017</x:v>
      </x:c>
      <x:c r="B17" s="26" t="str">
        <x:v>Kia Türkiye</x:v>
      </x:c>
      <x:c r="C17" s="26" t="str">
        <x:v>EV3 — Teknik Özellikler</x:v>
      </x:c>
      <x:c r="D17" s="26" t="str">
        <x:v>OFFICIAL_TECH_SPEC</x:v>
      </x:c>
      <x:c r="E17" s="26" t="str">
        <x:v>https://www.kia.com/tr/modeller/ev3/teknik-ozellikler.html</x:v>
      </x:c>
      <x:c r="F17" s="26" t="str">
        <x:v>TR</x:v>
      </x:c>
      <x:c r="G17" s="36" t="str"/>
      <x:c r="H17" s="36" t="n">
        <x:v>46248</x:v>
      </x:c>
      <x:c r="I17" s="26" t="str">
        <x:v>A1_OFFICIAL_MARKET</x:v>
      </x:c>
      <x:c r="J17" s="26" t="str">
        <x:v>ACTIVE</x:v>
      </x:c>
      <x:c r="K17" s="26" t="str">
        <x:v>Dimensions, battery, range, consumption, cargo.</x:v>
      </x:c>
      <x:c r="L17" s="26" t="str">
        <x:v>https://www.kia.com/tr/modeller/ev3/teknik-ozellikler.html</x:v>
      </x:c>
      <x:c r="M17" s="26" t="str">
        <x:v>observed 2026-08-14</x:v>
      </x:c>
      <x:c r="N17" s="26" t="n">
        <x:v>46248</x:v>
      </x:c>
      <x:c r="O17" s="26" t="str">
        <x:v>52a9d6ea15ecbd478b7e9484eab837851bb1525582315b3ab06e923a7365e62e</x:v>
      </x:c>
      <x:c r="P17" s="26" t="str">
        <x:v>data/cars/vehicle_evidence/source_snapshots/SRC-000017/2026-08-14/source.html</x:v>
      </x:c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SRC-000019</x:v>
      </x:c>
      <x:c r="B18" s="26" t="str">
        <x:v>Togg</x:v>
      </x:c>
      <x:c r="C18" s="26" t="str">
        <x:v>T10X Media Center — Technical Specifications</x:v>
      </x:c>
      <x:c r="D18" s="26" t="str">
        <x:v>OFFICIAL_TECH_SPEC</x:v>
      </x:c>
      <x:c r="E18" s="26" t="str">
        <x:v>https://mediacenter.togg.com.tr/t10x</x:v>
      </x:c>
      <x:c r="F18" s="26" t="str">
        <x:v>TR</x:v>
      </x:c>
      <x:c r="G18" s="36" t="str"/>
      <x:c r="H18" s="36" t="n">
        <x:v>46248</x:v>
      </x:c>
      <x:c r="I18" s="26" t="str">
        <x:v>A1_OFFICIAL_MARKET</x:v>
      </x:c>
      <x:c r="J18" s="26" t="str">
        <x:v>ACTIVE</x:v>
      </x:c>
      <x:c r="K18" s="26" t="str">
        <x:v>Current V2 figures.</x:v>
      </x:c>
      <x:c r="L18" s="26" t="str">
        <x:v>https://mediacenter.togg.com.tr/t10x</x:v>
      </x:c>
      <x:c r="M18" s="26" t="str">
        <x:v>observed 2026-08-14</x:v>
      </x:c>
      <x:c r="N18" s="26" t="n">
        <x:v>46248</x:v>
      </x:c>
      <x:c r="O18" s="26" t="str">
        <x:v>963b5d5890131b68cde1bb0505f03da7fc24f820a2098cffead3d378efd1a142</x:v>
      </x:c>
      <x:c r="P18" s="26" t="str">
        <x:v>data/cars/vehicle_evidence/source_snapshots/SRC-000019/2026-08-14/source.html</x:v>
      </x:c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SRC-000020</x:v>
      </x:c>
      <x:c r="B19" s="26" t="str">
        <x:v>Dacia Türkiye</x:v>
      </x:c>
      <x:c r="C19" s="26" t="str">
        <x:v>Yeni Sandero Stepway — Karşılaştırma</x:v>
      </x:c>
      <x:c r="D19" s="26" t="str">
        <x:v>OFFICIAL_TECH_SPEC</x:v>
      </x:c>
      <x:c r="E19" s="26" t="str">
        <x:v>https://www.dacia.com.tr/modeller/yeni-sandero-stepway-bi1-ph2/karsilastirma.html</x:v>
      </x:c>
      <x:c r="F19" s="26" t="str">
        <x:v>TR</x:v>
      </x:c>
      <x:c r="G19" s="36" t="str"/>
      <x:c r="H19" s="36" t="n">
        <x:v>46248</x:v>
      </x:c>
      <x:c r="I19" s="26" t="str">
        <x:v>A1_OFFICIAL_MARKET</x:v>
      </x:c>
      <x:c r="J19" s="26" t="str">
        <x:v>ACTIVE</x:v>
      </x:c>
      <x:c r="K19" s="26" t="str">
        <x:v>Expression Eco-G 120 auto technical details.</x:v>
      </x:c>
      <x:c r="L19" s="26" t="str">
        <x:v>https://www.dacia.com.tr/modeller/yeni-sandero-stepway-bi1-ph2/karsilastirma.html</x:v>
      </x:c>
      <x:c r="M19" s="26" t="str">
        <x:v>observed 2026-08-14</x:v>
      </x:c>
      <x:c r="N19" s="26" t="n">
        <x:v>46248</x:v>
      </x:c>
      <x:c r="O19" s="26" t="str">
        <x:v>cd57696d718a09136406a776fe4a2b6de89eb4de3a85b0c4d1267633f9b3e911</x:v>
      </x:c>
      <x:c r="P19" s="26" t="str">
        <x:v>data/cars/vehicle_evidence/source_snapshots/SRC-000020/2026-08-14/source.html</x:v>
      </x:c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SRC-000021</x:v>
      </x:c>
      <x:c r="B20" s="26" t="str">
        <x:v>Dacia Türkiye</x:v>
      </x:c>
      <x:c r="C20" s="26" t="str">
        <x:v>Yeni Sandero Stepway — Konfigüratör</x:v>
      </x:c>
      <x:c r="D20" s="26" t="str">
        <x:v>OFFICIAL_WEB</x:v>
      </x:c>
      <x:c r="E20" s="26" t="str">
        <x:v>https://www.dacia.com.tr/modeller/yeni-sandero-stepway-bi1-ph2/konfigurator-yeni.html</x:v>
      </x:c>
      <x:c r="F20" s="26" t="str">
        <x:v>TR</x:v>
      </x:c>
      <x:c r="G20" s="36" t="str"/>
      <x:c r="H20" s="36" t="n">
        <x:v>46248</x:v>
      </x:c>
      <x:c r="I20" s="26" t="str">
        <x:v>A1_OFFICIAL_MARKET</x:v>
      </x:c>
      <x:c r="J20" s="26" t="str">
        <x:v>ACTIVE</x:v>
      </x:c>
      <x:c r="K20" s="26" t="str">
        <x:v>Expression equipment list.</x:v>
      </x:c>
      <x:c r="L20" s="26" t="str">
        <x:v>https://www.dacia.com.tr/modeller/yeni-sandero-stepway-bi1-ph2/konfigurator-yeni.html</x:v>
      </x:c>
      <x:c r="M20" s="26" t="str">
        <x:v>observed 2026-08-14</x:v>
      </x:c>
      <x:c r="N20" s="26" t="n">
        <x:v>46248</x:v>
      </x:c>
      <x:c r="O20" s="26" t="str">
        <x:v>20b46da91269b77aef0f77d7d9edce740644ee431f2883760eb30d2c484b2d7e</x:v>
      </x:c>
      <x:c r="P20" s="26" t="str">
        <x:v>data/cars/vehicle_evidence/source_snapshots/SRC-000021/2026-08-14/source.html</x:v>
      </x:c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SRC-000022</x:v>
      </x:c>
      <x:c r="B21" s="26" t="str">
        <x:v>Fiat Türkiye</x:v>
      </x:c>
      <x:c r="C21" s="26" t="str">
        <x:v>Egea Sedan 2026 Model Yılı Fiyat Listesi</x:v>
      </x:c>
      <x:c r="D21" s="26" t="str">
        <x:v>OFFICIAL_PRICE_LIST</x:v>
      </x:c>
      <x:c r="E21" s="26" t="str">
        <x:v>https://www.fiat.com.tr/otomobil-fiyat-listesi</x:v>
      </x:c>
      <x:c r="F21" s="26" t="str">
        <x:v>TR</x:v>
      </x:c>
      <x:c r="G21" s="36" t="str"/>
      <x:c r="H21" s="36" t="n">
        <x:v>46248</x:v>
      </x:c>
      <x:c r="I21" s="26" t="str">
        <x:v>A1_OFFICIAL_MARKET</x:v>
      </x:c>
      <x:c r="J21" s="26" t="str">
        <x:v>ACTIVE</x:v>
      </x:c>
      <x:c r="K21" s="26" t="str">
        <x:v>Current 2026 price list identifies Easy 1.6 Manual Diesel; used to resolve pilot to exact manual configuration.</x:v>
      </x:c>
      <x:c r="L21" s="26" t="str">
        <x:v>https://www.fiat.com.tr/otomobil-fiyat-listesi</x:v>
      </x:c>
      <x:c r="M21" s="26" t="str">
        <x:v>observed 2026-08-14</x:v>
      </x:c>
      <x:c r="N21" s="26" t="n">
        <x:v>46248</x:v>
      </x:c>
      <x:c r="O21" s="26" t="str">
        <x:v>b3f8105dc39d440338b48ee532b3c5461351a52e670ea694f987cf743cbd3aa2</x:v>
      </x:c>
      <x:c r="P21" s="26" t="str">
        <x:v>data/cars/vehicle_evidence/source_snapshots/SRC-000022/2026-08-14/source.pdf</x:v>
      </x:c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SRC-000023</x:v>
      </x:c>
      <x:c r="B22" s="26" t="str">
        <x:v>Togg</x:v>
      </x:c>
      <x:c r="C22" s="26" t="str">
        <x:v>T10X Fiyat Listesi</x:v>
      </x:c>
      <x:c r="D22" s="26" t="str">
        <x:v>OFFICIAL_PRICE_LIST</x:v>
      </x:c>
      <x:c r="E22" s="26" t="str">
        <x:v>https://www.togg.com.tr/price-list</x:v>
      </x:c>
      <x:c r="F22" s="26" t="str">
        <x:v>TR</x:v>
      </x:c>
      <x:c r="G22" s="36" t="n">
        <x:v>46188</x:v>
      </x:c>
      <x:c r="H22" s="36" t="n">
        <x:v>46248</x:v>
      </x:c>
      <x:c r="I22" s="26" t="str">
        <x:v>A1_OFFICIAL_MARKET</x:v>
      </x:c>
      <x:c r="J22" s="26" t="str">
        <x:v>ACTIVE</x:v>
      </x:c>
      <x:c r="K22" s="26" t="str">
        <x:v>Lists V2 RWD Uzun Menzil as a current T10X version.</x:v>
      </x:c>
      <x:c r="L22" s="26" t="str">
        <x:v>https://www.togg.com.tr/price-list</x:v>
      </x:c>
      <x:c r="M22" s="26" t="str">
        <x:v>published-46188</x:v>
      </x:c>
      <x:c r="N22" s="26" t="n">
        <x:v>46248</x:v>
      </x:c>
      <x:c r="O22" s="26" t="str">
        <x:v>026b2ee7a76d05345a17cad524f1a885e42a5f06b215db0137ae10d8b9794396</x:v>
      </x:c>
      <x:c r="P22" s="26" t="str">
        <x:v>data/cars/vehicle_evidence/source_snapshots/SRC-000023/2026-08-14/source.html</x:v>
      </x:c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SRC-000024</x:v>
      </x:c>
      <x:c r="B23" s="26" t="str">
        <x:v>Togg</x:v>
      </x:c>
      <x:c r="C23" s="26" t="str">
        <x:v>T10X ADAS Bilgilendirme</x:v>
      </x:c>
      <x:c r="D23" s="26" t="str">
        <x:v>OFFICIAL_WEB</x:v>
      </x:c>
      <x:c r="E23" s="26" t="str">
        <x:v>https://www.togg.com.tr/adas-info</x:v>
      </x:c>
      <x:c r="F23" s="26" t="str">
        <x:v>TR</x:v>
      </x:c>
      <x:c r="G23" s="36" t="str"/>
      <x:c r="H23" s="36" t="n">
        <x:v>46248</x:v>
      </x:c>
      <x:c r="I23" s="26" t="str">
        <x:v>A1_OFFICIAL_MARKET</x:v>
      </x:c>
      <x:c r="J23" s="26" t="str">
        <x:v>ACTIVE</x:v>
      </x:c>
      <x:c r="K23" s="26" t="str">
        <x:v>ACC standard on all T10X produced April 2025 onward; some functions temporarily deactivated.</x:v>
      </x:c>
      <x:c r="L23" s="26" t="str">
        <x:v>https://www.togg.com.tr/adas-info</x:v>
      </x:c>
      <x:c r="M23" s="26" t="str">
        <x:v>observed 2026-08-14</x:v>
      </x:c>
      <x:c r="N23" s="26" t="n">
        <x:v>46248</x:v>
      </x:c>
      <x:c r="O23" s="26" t="str">
        <x:v>06d5068a1aec7488b2a5692fad24d23245095deaf3e1e1d5d81d891049da9efb</x:v>
      </x:c>
      <x:c r="P23" s="26" t="str">
        <x:v>data/cars/vehicle_evidence/source_snapshots/SRC-000024/2026-08-14/source.html</x:v>
      </x:c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SRC-000025</x:v>
      </x:c>
      <x:c r="B24" s="26" t="str">
        <x:v>Dacia Türkiye</x:v>
      </x:c>
      <x:c r="C24" s="26" t="str">
        <x:v>Yeni Sandero Stepway — Boyutlar</x:v>
      </x:c>
      <x:c r="D24" s="26" t="str">
        <x:v>OFFICIAL_TECH_SPEC</x:v>
      </x:c>
      <x:c r="E24" s="26" t="str">
        <x:v>https://www.dacia.com.tr/modeller/yeni-sandero-stepway-bi1-ph2/boyutlar.html</x:v>
      </x:c>
      <x:c r="F24" s="26" t="str">
        <x:v>TR</x:v>
      </x:c>
      <x:c r="G24" s="36" t="str"/>
      <x:c r="H24" s="36" t="n">
        <x:v>46248</x:v>
      </x:c>
      <x:c r="I24" s="26" t="str">
        <x:v>A1_OFFICIAL_MARKET</x:v>
      </x:c>
      <x:c r="J24" s="26" t="str">
        <x:v>ACTIVE</x:v>
      </x:c>
      <x:c r="K24" s="26" t="str">
        <x:v>Official cargo-volume table: 328 dm3 VDA / 410 L minimum; 1108 dm3 VDA / 1455 L maximum.</x:v>
      </x:c>
      <x:c r="L24" s="26" t="str">
        <x:v>https://www.dacia.com.tr/modeller/yeni-sandero-stepway-bi1-ph2/boyutlar.html</x:v>
      </x:c>
      <x:c r="M24" s="26" t="str">
        <x:v>observed 2026-08-14</x:v>
      </x:c>
      <x:c r="N24" s="26" t="n">
        <x:v>46248</x:v>
      </x:c>
      <x:c r="O24" s="26" t="str">
        <x:v>e53001640d8fafc064210ea0a46ad1c2665cdf51d2a0cbc242dac75b043494a5</x:v>
      </x:c>
      <x:c r="P24" s="26" t="str">
        <x:v>data/cars/vehicle_evidence/source_snapshots/SRC-000025/2026-08-14/source.html</x:v>
      </x:c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SRC-000026</x:v>
      </x:c>
      <x:c r="B25" s="26" t="str">
        <x:v>Hyundai Türkiye</x:v>
      </x:c>
      <x:c r="C25" s="26" t="str">
        <x:v>Hyundai i20 Türkiye dijital broşürü</x:v>
      </x:c>
      <x:c r="D25" s="26" t="str">
        <x:v>OFFICIAL_BROCHURE</x:v>
      </x:c>
      <x:c r="E25" s="26" t="str">
        <x:v>https://www.hyundai.com/content/dam/hyundai/downloads/tr/tr/brosurler/i20-dijital-brosur.pdf</x:v>
      </x:c>
      <x:c r="F25" s="26" t="str">
        <x:v>TR</x:v>
      </x:c>
      <x:c r="G25" s="36" t="str"/>
      <x:c r="H25" s="36" t="n">
        <x:v>46248</x:v>
      </x:c>
      <x:c r="I25" s="26" t="str">
        <x:v>A1_OFFICIAL_MARKET</x:v>
      </x:c>
      <x:c r="J25" s="26" t="str">
        <x:v>ACTIVE</x:v>
      </x:c>
      <x:c r="K25" s="26" t="str">
        <x:v>SCALE_BATCH_01 availability/identity/P0 evidence.</x:v>
      </x:c>
      <x:c r="L25" s="26" t="str">
        <x:v>https://www.hyundai.com/content/dam/hyundai/downloads/tr/tr/brosurler/i20-dijital-brosur.pdf</x:v>
      </x:c>
      <x:c r="M25" s="26" t="str">
        <x:v>observed 2026-08-14</x:v>
      </x:c>
      <x:c r="N25" s="26" t="n">
        <x:v>46248</x:v>
      </x:c>
      <x:c r="O25" s="26" t="str">
        <x:v>f05136b7af94477fdb681767d0614ae2222e2923295eab0940982a2db4a700b7</x:v>
      </x:c>
      <x:c r="P25" s="26" t="str">
        <x:v>data/cars/vehicle_evidence/source_snapshots/SRC-000026/2026-08-14/source.pdf</x:v>
      </x:c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SRC-000027</x:v>
      </x:c>
      <x:c r="B26" s="26" t="str">
        <x:v>Honda Türkiye</x:v>
      </x:c>
      <x:c r="C26" s="26" t="str">
        <x:v>Honda Türkiye otomobil modelleri ve konfigürasyonları</x:v>
      </x:c>
      <x:c r="D26" s="26" t="str">
        <x:v>OFFICIAL_WEB</x:v>
      </x:c>
      <x:c r="E26" s="26" t="str">
        <x:v>https://www.honda.com.tr/otomobil</x:v>
      </x:c>
      <x:c r="F26" s="26" t="str">
        <x:v>TR</x:v>
      </x:c>
      <x:c r="G26" s="36" t="str"/>
      <x:c r="H26" s="36" t="n">
        <x:v>46248</x:v>
      </x:c>
      <x:c r="I26" s="26" t="str">
        <x:v>A1_OFFICIAL_MARKET</x:v>
      </x:c>
      <x:c r="J26" s="26" t="str">
        <x:v>ACTIVE</x:v>
      </x:c>
      <x:c r="K26" s="26" t="str">
        <x:v>SCALE_BATCH_01 availability/identity/P0 evidence.</x:v>
      </x:c>
      <x:c r="L26" s="26" t="str">
        <x:v>https://www.honda.com.tr/otomobil</x:v>
      </x:c>
      <x:c r="M26" s="26" t="str">
        <x:v>observed 2026-08-14</x:v>
      </x:c>
      <x:c r="N26" s="26" t="n">
        <x:v>46248</x:v>
      </x:c>
      <x:c r="O26" s="26" t="str">
        <x:v>4d41de86fa59e11583fbf666a6c0d3d1e531300ef4117e8834fe849e372613f8</x:v>
      </x:c>
      <x:c r="P26" s="26" t="str">
        <x:v>data/cars/vehicle_evidence/source_snapshots/SRC-000027/2026-08-14/source.html</x:v>
      </x:c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SRC-000028</x:v>
      </x:c>
      <x:c r="B27" s="26" t="str">
        <x:v>Nissan Türkiye</x:v>
      </x:c>
      <x:c r="C27" s="26" t="str">
        <x:v>Nissan Qashqai Türkiye broşürü</x:v>
      </x:c>
      <x:c r="D27" s="26" t="str">
        <x:v>OFFICIAL_BROCHURE</x:v>
      </x:c>
      <x:c r="E27" s="26" t="str">
        <x:v>https://www.nissan.com.tr/content/dam/Nissan/turkey/brochures/NISSAN_QASHQAI_BROSUR_260211_WEB.pdf</x:v>
      </x:c>
      <x:c r="F27" s="26" t="str">
        <x:v>TR</x:v>
      </x:c>
      <x:c r="G27" s="36" t="str"/>
      <x:c r="H27" s="36" t="n">
        <x:v>46248</x:v>
      </x:c>
      <x:c r="I27" s="26" t="str">
        <x:v>A1_OFFICIAL_MARKET</x:v>
      </x:c>
      <x:c r="J27" s="26" t="str">
        <x:v>ACTIVE</x:v>
      </x:c>
      <x:c r="K27" s="26" t="str">
        <x:v>SCALE_BATCH_01 availability/identity/P0 evidence. Snapshot unavailable: fetch failed.</x:v>
      </x:c>
      <x:c r="L27" s="26" t="str">
        <x:v>https://www.nissan.com.tr/content/dam/Nissan/turkey/brochures/NISSAN_QASHQAI_BROSUR_260211_WEB.pdf</x:v>
      </x:c>
      <x:c r="M27" s="26" t="str">
        <x:v>observed 2026-08-14</x:v>
      </x:c>
      <x:c r="N27" s="26" t="n">
        <x:v>46248</x:v>
      </x:c>
      <x:c r="O27" s="26" t="str"/>
      <x:c r="P27" s="26" t="str">
        <x:v>SNAPSHOT_UNAVAILABLE</x:v>
      </x:c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SRC-000029</x:v>
      </x:c>
      <x:c r="B28" s="26" t="str">
        <x:v>Škoda Türkiye</x:v>
      </x:c>
      <x:c r="C28" s="26" t="str">
        <x:v>Škoda Octavia Türkiye model ve teknik bilgiler</x:v>
      </x:c>
      <x:c r="D28" s="26" t="str">
        <x:v>OFFICIAL_WEB</x:v>
      </x:c>
      <x:c r="E28" s="26" t="str">
        <x:v>https://www.skoda.com.tr/modeller/octavia</x:v>
      </x:c>
      <x:c r="F28" s="26" t="str">
        <x:v>TR</x:v>
      </x:c>
      <x:c r="G28" s="36" t="str"/>
      <x:c r="H28" s="36" t="n">
        <x:v>46248</x:v>
      </x:c>
      <x:c r="I28" s="26" t="str">
        <x:v>A1_OFFICIAL_MARKET</x:v>
      </x:c>
      <x:c r="J28" s="26" t="str">
        <x:v>ACTIVE</x:v>
      </x:c>
      <x:c r="K28" s="26" t="str">
        <x:v>SCALE_BATCH_01 availability/identity/P0 evidence.</x:v>
      </x:c>
      <x:c r="L28" s="26" t="str">
        <x:v>https://www.skoda.com.tr/modeller/octavia</x:v>
      </x:c>
      <x:c r="M28" s="26" t="str">
        <x:v>observed 2026-08-14</x:v>
      </x:c>
      <x:c r="N28" s="26" t="n">
        <x:v>46248</x:v>
      </x:c>
      <x:c r="O28" s="26" t="str">
        <x:v>dbdc39654c4559aaae592a1d715f6927b1576d182f3cc351fd629c52bdda4376</x:v>
      </x:c>
      <x:c r="P28" s="26" t="str">
        <x:v>data/cars/vehicle_evidence/source_snapshots/SRC-000029/2026-08-14/source.html</x:v>
      </x:c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SRC-000030</x:v>
      </x:c>
      <x:c r="B29" s="26" t="str">
        <x:v>Dacia Türkiye</x:v>
      </x:c>
      <x:c r="C29" s="26" t="str">
        <x:v>Dacia Jogger Türkiye karşılaştırma</x:v>
      </x:c>
      <x:c r="D29" s="26" t="str">
        <x:v>OFFICIAL_WEB</x:v>
      </x:c>
      <x:c r="E29" s="26" t="str">
        <x:v>https://www.dacia.com.tr/modeller/yeni-jogger/karsilastirma.html</x:v>
      </x:c>
      <x:c r="F29" s="26" t="str">
        <x:v>TR</x:v>
      </x:c>
      <x:c r="G29" s="36" t="str"/>
      <x:c r="H29" s="36" t="n">
        <x:v>46248</x:v>
      </x:c>
      <x:c r="I29" s="26" t="str">
        <x:v>A1_OFFICIAL_MARKET</x:v>
      </x:c>
      <x:c r="J29" s="26" t="str">
        <x:v>ACTIVE</x:v>
      </x:c>
      <x:c r="K29" s="26" t="str">
        <x:v>SCALE_BATCH_01 availability/identity/P0 evidence.</x:v>
      </x:c>
      <x:c r="L29" s="26" t="str">
        <x:v>https://www.dacia.com.tr/modeller/yeni-jogger/karsilastirma.html</x:v>
      </x:c>
      <x:c r="M29" s="26" t="str">
        <x:v>observed 2026-08-14</x:v>
      </x:c>
      <x:c r="N29" s="26" t="n">
        <x:v>46248</x:v>
      </x:c>
      <x:c r="O29" s="26" t="str">
        <x:v>54d24b61377ea9c58d44a80ecf707b0f862e65d0601a9be2c2da27acabd7aba1</x:v>
      </x:c>
      <x:c r="P29" s="26" t="str">
        <x:v>data/cars/vehicle_evidence/source_snapshots/SRC-000030/2026-08-14/source.html</x:v>
      </x:c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SRC-000031</x:v>
      </x:c>
      <x:c r="B30" s="26" t="str">
        <x:v>Renault Türkiye</x:v>
      </x:c>
      <x:c r="C30" s="26" t="str">
        <x:v>Renault Austral Türkiye modeller ve versiyonlar</x:v>
      </x:c>
      <x:c r="D30" s="26" t="str">
        <x:v>OFFICIAL_WEB</x:v>
      </x:c>
      <x:c r="E30" s="26" t="str">
        <x:v>https://www.renault.com.tr/hybrid-araclar/renault-austral-2025/modeller-versiyonlar.html</x:v>
      </x:c>
      <x:c r="F30" s="26" t="str">
        <x:v>TR</x:v>
      </x:c>
      <x:c r="G30" s="36" t="str"/>
      <x:c r="H30" s="36" t="n">
        <x:v>46248</x:v>
      </x:c>
      <x:c r="I30" s="26" t="str">
        <x:v>A1_OFFICIAL_MARKET</x:v>
      </x:c>
      <x:c r="J30" s="26" t="str">
        <x:v>ACTIVE</x:v>
      </x:c>
      <x:c r="K30" s="26" t="str">
        <x:v>SCALE_BATCH_01 availability/identity/P0 evidence.</x:v>
      </x:c>
      <x:c r="L30" s="26" t="str">
        <x:v>https://www.renault.com.tr/hybrid-araclar/renault-austral-2025/modeller-versiyonlar.html</x:v>
      </x:c>
      <x:c r="M30" s="26" t="str">
        <x:v>observed 2026-08-14</x:v>
      </x:c>
      <x:c r="N30" s="26" t="n">
        <x:v>46248</x:v>
      </x:c>
      <x:c r="O30" s="26" t="str">
        <x:v>7a8d4836930329c29960c774facaaa8cee6937ce08625e187bcae36078b6ca9b</x:v>
      </x:c>
      <x:c r="P30" s="26" t="str">
        <x:v>data/cars/vehicle_evidence/source_snapshots/SRC-000031/2026-08-14/source.html</x:v>
      </x:c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SRC-000032</x:v>
      </x:c>
      <x:c r="B31" s="26" t="str">
        <x:v>Toyota Türkiye</x:v>
      </x:c>
      <x:c r="C31" s="26" t="str">
        <x:v>Toyota C-HR Hybrid Haziran 2026 teknik ve donanım tablosu</x:v>
      </x:c>
      <x:c r="D31" s="26" t="str">
        <x:v>OFFICIAL_BROCHURE</x:v>
      </x:c>
      <x:c r="E31" s="26" t="str">
        <x:v>https://www.toyota.com.tr/content/dam/toyota/nmsc/turkey/cars/e-brosur/toyota-c-hr/TOYOTA_CHR_Teknik_Ozellikler-2026-06.pdf</x:v>
      </x:c>
      <x:c r="F31" s="26" t="str">
        <x:v>TR</x:v>
      </x:c>
      <x:c r="G31" s="36" t="str"/>
      <x:c r="H31" s="36" t="n">
        <x:v>46248</x:v>
      </x:c>
      <x:c r="I31" s="26" t="str">
        <x:v>A1_OFFICIAL_MARKET</x:v>
      </x:c>
      <x:c r="J31" s="26" t="str">
        <x:v>ACTIVE</x:v>
      </x:c>
      <x:c r="K31" s="26" t="str">
        <x:v>SCALE_BATCH_01 availability/identity/P0 evidence. Snapshot unavailable: fetch failed.</x:v>
      </x:c>
      <x:c r="L31" s="26" t="str">
        <x:v>https://www.toyota.com.tr/content/dam/toyota/nmsc/turkey/cars/e-brosur/toyota-c-hr/TOYOTA_CHR_Teknik_Ozellikler-2026-06.pdf</x:v>
      </x:c>
      <x:c r="M31" s="26" t="str">
        <x:v>observed 2026-08-14</x:v>
      </x:c>
      <x:c r="N31" s="26" t="n">
        <x:v>46248</x:v>
      </x:c>
      <x:c r="O31" s="26" t="str"/>
      <x:c r="P31" s="26" t="str">
        <x:v>SNAPSHOT_UNAVAILABLE</x:v>
      </x:c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SRC-000033</x:v>
      </x:c>
      <x:c r="B32" s="26" t="str">
        <x:v>Honda Türkiye</x:v>
      </x:c>
      <x:c r="C32" s="26" t="str">
        <x:v>Honda Türkiye model karşılaştırma</x:v>
      </x:c>
      <x:c r="D32" s="26" t="str">
        <x:v>OFFICIAL_WEB</x:v>
      </x:c>
      <x:c r="E32" s="26" t="str">
        <x:v>https://www.honda.com.tr/otomobil/yeni-bir-honda/honda-model-karsilastirma</x:v>
      </x:c>
      <x:c r="F32" s="26" t="str">
        <x:v>TR</x:v>
      </x:c>
      <x:c r="G32" s="36" t="str"/>
      <x:c r="H32" s="36" t="n">
        <x:v>46248</x:v>
      </x:c>
      <x:c r="I32" s="26" t="str">
        <x:v>A1_OFFICIAL_MARKET</x:v>
      </x:c>
      <x:c r="J32" s="26" t="str">
        <x:v>ACTIVE</x:v>
      </x:c>
      <x:c r="K32" s="26" t="str">
        <x:v>SCALE_BATCH_01 availability/identity/P0 evidence.</x:v>
      </x:c>
      <x:c r="L32" s="26" t="str">
        <x:v>https://www.honda.com.tr/otomobil/yeni-bir-honda/honda-model-karsilastirma</x:v>
      </x:c>
      <x:c r="M32" s="26" t="str">
        <x:v>observed 2026-08-14</x:v>
      </x:c>
      <x:c r="N32" s="26" t="n">
        <x:v>46248</x:v>
      </x:c>
      <x:c r="O32" s="26" t="str">
        <x:v>a4f930936095a5faf174dedce6817d2b368c4a5a7c35c658bbbbdf471fcc92af</x:v>
      </x:c>
      <x:c r="P32" s="26" t="str">
        <x:v>data/cars/vehicle_evidence/source_snapshots/SRC-000033/2026-08-14/source.html</x:v>
      </x:c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SRC-000034</x:v>
      </x:c>
      <x:c r="B33" s="26" t="str">
        <x:v>Subaru Türkiye</x:v>
      </x:c>
      <x:c r="C33" s="26" t="str">
        <x:v>Subaru Crosstrek Türkiye teknik föyü</x:v>
      </x:c>
      <x:c r="D33" s="26" t="str">
        <x:v>OFFICIAL_BROCHURE</x:v>
      </x:c>
      <x:c r="E33" s="26" t="str">
        <x:v>https://subaru.com.tr/documents/SUBARU_CROSSTREK_TeknikFoy.pdf</x:v>
      </x:c>
      <x:c r="F33" s="26" t="str">
        <x:v>TR</x:v>
      </x:c>
      <x:c r="G33" s="36" t="str"/>
      <x:c r="H33" s="36" t="n">
        <x:v>46248</x:v>
      </x:c>
      <x:c r="I33" s="26" t="str">
        <x:v>A1_OFFICIAL_MARKET</x:v>
      </x:c>
      <x:c r="J33" s="26" t="str">
        <x:v>ACTIVE</x:v>
      </x:c>
      <x:c r="K33" s="26" t="str">
        <x:v>SCALE_BATCH_01 availability/identity/P0 evidence.</x:v>
      </x:c>
      <x:c r="L33" s="26" t="str">
        <x:v>https://subaru.com.tr/documents/SUBARU_CROSSTREK_TeknikFoy.pdf</x:v>
      </x:c>
      <x:c r="M33" s="26" t="str">
        <x:v>observed 2026-08-14</x:v>
      </x:c>
      <x:c r="N33" s="26" t="n">
        <x:v>46248</x:v>
      </x:c>
      <x:c r="O33" s="26" t="str">
        <x:v>e70ef46a54a79b38195cbbc4ff34361253312e01e33dd2435f000f642ec6cf5a</x:v>
      </x:c>
      <x:c r="P33" s="26" t="str">
        <x:v>data/cars/vehicle_evidence/source_snapshots/SRC-000034/2026-08-14/source.pdf</x:v>
      </x:c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 t="str">
        <x:v>SRC-000035</x:v>
      </x:c>
      <x:c r="B34" s="26" t="str">
        <x:v>CUPRA Türkiye</x:v>
      </x:c>
      <x:c r="C34" s="26" t="str">
        <x:v>CUPRA Formentor Türkiye Kasım 2025 katalogu</x:v>
      </x:c>
      <x:c r="D34" s="26" t="str">
        <x:v>OFFICIAL_BROCHURE</x:v>
      </x:c>
      <x:c r="E34" s="26" t="str">
        <x:v>https://fs.cupraofficial.com.tr/assets/pdfs/Formentor/CUPRA%20FORMENTOR%20MODEL%20KATALOGU-KASIM%202025.pdf</x:v>
      </x:c>
      <x:c r="F34" s="26" t="str">
        <x:v>TR</x:v>
      </x:c>
      <x:c r="G34" s="36" t="str"/>
      <x:c r="H34" s="36" t="n">
        <x:v>46248</x:v>
      </x:c>
      <x:c r="I34" s="26" t="str">
        <x:v>A1_OFFICIAL_MARKET</x:v>
      </x:c>
      <x:c r="J34" s="26" t="str">
        <x:v>ACTIVE</x:v>
      </x:c>
      <x:c r="K34" s="26" t="str">
        <x:v>SCALE_BATCH_01 availability/identity/P0 evidence.</x:v>
      </x:c>
      <x:c r="L34" s="26" t="str">
        <x:v>https://fs.cupraofficial.com.tr/assets/pdfs/Formentor/CUPRA%20FORMENTOR%20MODEL%20KATALOGU-KASIM%202025.pdf</x:v>
      </x:c>
      <x:c r="M34" s="26" t="str">
        <x:v>observed 2026-08-14</x:v>
      </x:c>
      <x:c r="N34" s="26" t="n">
        <x:v>46248</x:v>
      </x:c>
      <x:c r="O34" s="26" t="str">
        <x:v>7ebd166cfffce6cddae6e9f515248994c71bc0f3d845916c9cad762ca4fc84ad</x:v>
      </x:c>
      <x:c r="P34" s="26" t="str">
        <x:v>data/cars/vehicle_evidence/source_snapshots/SRC-000035/2026-08-14/source.pdf</x:v>
      </x:c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 t="str">
        <x:v>SRC-000036</x:v>
      </x:c>
      <x:c r="B35" s="26" t="str">
        <x:v>MG Türkiye</x:v>
      </x:c>
      <x:c r="C35" s="26" t="str">
        <x:v>MG HS Hybrid+ Türkiye ürün ve teknik özellikler</x:v>
      </x:c>
      <x:c r="D35" s="26" t="str">
        <x:v>OFFICIAL_WEB</x:v>
      </x:c>
      <x:c r="E35" s="26" t="str">
        <x:v>https://www.mg-turkey.com/tr/hs-hybrid.html</x:v>
      </x:c>
      <x:c r="F35" s="26" t="str">
        <x:v>TR</x:v>
      </x:c>
      <x:c r="G35" s="36" t="str"/>
      <x:c r="H35" s="36" t="n">
        <x:v>46248</x:v>
      </x:c>
      <x:c r="I35" s="26" t="str">
        <x:v>A1_OFFICIAL_MARKET</x:v>
      </x:c>
      <x:c r="J35" s="26" t="str">
        <x:v>ACTIVE</x:v>
      </x:c>
      <x:c r="K35" s="26" t="str">
        <x:v>SCALE_BATCH_01 availability/identity/P0 evidence.</x:v>
      </x:c>
      <x:c r="L35" s="26" t="str">
        <x:v>https://www.mg-turkey.com/tr/hs-hybrid.html</x:v>
      </x:c>
      <x:c r="M35" s="26" t="str">
        <x:v>observed 2026-08-14</x:v>
      </x:c>
      <x:c r="N35" s="26" t="n">
        <x:v>46248</x:v>
      </x:c>
      <x:c r="O35" s="26" t="str">
        <x:v>8ae48b1ff01abca841e5c28794edd2f32a86a510f98dd9d52a70ca9bdb4ac8c8</x:v>
      </x:c>
      <x:c r="P35" s="26" t="str">
        <x:v>data/cars/vehicle_evidence/source_snapshots/SRC-000036/2026-08-14/source.html</x:v>
      </x:c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 t="str">
        <x:v>SRC-000037</x:v>
      </x:c>
      <x:c r="B36" s="26" t="str">
        <x:v>Škoda Türkiye</x:v>
      </x:c>
      <x:c r="C36" s="26" t="str">
        <x:v>Škoda Elroq Türkiye model ve teknik bilgiler</x:v>
      </x:c>
      <x:c r="D36" s="26" t="str">
        <x:v>OFFICIAL_WEB</x:v>
      </x:c>
      <x:c r="E36" s="26" t="str">
        <x:v>https://www.skoda.com.tr/modeller/elroq</x:v>
      </x:c>
      <x:c r="F36" s="26" t="str">
        <x:v>TR</x:v>
      </x:c>
      <x:c r="G36" s="36" t="str"/>
      <x:c r="H36" s="36" t="n">
        <x:v>46248</x:v>
      </x:c>
      <x:c r="I36" s="26" t="str">
        <x:v>A1_OFFICIAL_MARKET</x:v>
      </x:c>
      <x:c r="J36" s="26" t="str">
        <x:v>ACTIVE</x:v>
      </x:c>
      <x:c r="K36" s="26" t="str">
        <x:v>SCALE_BATCH_01 availability/identity/P0 evidence.</x:v>
      </x:c>
      <x:c r="L36" s="26" t="str">
        <x:v>https://www.skoda.com.tr/modeller/elroq</x:v>
      </x:c>
      <x:c r="M36" s="26" t="str">
        <x:v>observed 2026-08-14</x:v>
      </x:c>
      <x:c r="N36" s="26" t="n">
        <x:v>46248</x:v>
      </x:c>
      <x:c r="O36" s="26" t="str">
        <x:v>ad4197aecae873653e2d9a43593e32268b675d6c0fe842da488eb98de5514e55</x:v>
      </x:c>
      <x:c r="P36" s="26" t="str">
        <x:v>data/cars/vehicle_evidence/source_snapshots/SRC-000037/2026-08-14/source.html</x:v>
      </x:c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 t="str">
        <x:v>SRC-000038</x:v>
      </x:c>
      <x:c r="B37" s="26" t="str">
        <x:v>Škoda Türkiye</x:v>
      </x:c>
      <x:c r="C37" s="26" t="str">
        <x:v>Škoda Türkiye araç karşılaştırma</x:v>
      </x:c>
      <x:c r="D37" s="26" t="str">
        <x:v>OFFICIAL_WEB</x:v>
      </x:c>
      <x:c r="E37" s="26" t="str">
        <x:v>https://www.skoda.com.tr/arac-karsilastirma</x:v>
      </x:c>
      <x:c r="F37" s="26" t="str">
        <x:v>TR</x:v>
      </x:c>
      <x:c r="G37" s="36" t="str"/>
      <x:c r="H37" s="36" t="n">
        <x:v>46248</x:v>
      </x:c>
      <x:c r="I37" s="26" t="str">
        <x:v>A1_OFFICIAL_MARKET</x:v>
      </x:c>
      <x:c r="J37" s="26" t="str">
        <x:v>ACTIVE</x:v>
      </x:c>
      <x:c r="K37" s="26" t="str">
        <x:v>SCALE_BATCH_01 availability/identity/P0 evidence.</x:v>
      </x:c>
      <x:c r="L37" s="26" t="str">
        <x:v>https://www.skoda.com.tr/arac-karsilastirma</x:v>
      </x:c>
      <x:c r="M37" s="26" t="str">
        <x:v>observed 2026-08-14</x:v>
      </x:c>
      <x:c r="N37" s="26" t="n">
        <x:v>46248</x:v>
      </x:c>
      <x:c r="O37" s="26" t="str">
        <x:v>a2c837e02167f05d97c24b37ac313dd81d51111f2fb5b3c69b49a39aa7770401</x:v>
      </x:c>
      <x:c r="P37" s="26" t="str">
        <x:v>data/cars/vehicle_evidence/source_snapshots/SRC-000038/2026-08-14/source.html</x:v>
      </x:c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 t="str">
        <x:v>SRC-000039</x:v>
      </x:c>
      <x:c r="B38" s="26" t="str">
        <x:v>Subaru Türkiye</x:v>
      </x:c>
      <x:c r="C38" s="26" t="str">
        <x:v>Subaru Türkiye güncel model gamı</x:v>
      </x:c>
      <x:c r="D38" s="26" t="str">
        <x:v>OFFICIAL_WEB</x:v>
      </x:c>
      <x:c r="E38" s="26" t="str">
        <x:v>https://subaru.com.tr/</x:v>
      </x:c>
      <x:c r="F38" s="26" t="str">
        <x:v>TR</x:v>
      </x:c>
      <x:c r="G38" s="36" t="str"/>
      <x:c r="H38" s="36" t="n">
        <x:v>46248</x:v>
      </x:c>
      <x:c r="I38" s="26" t="str">
        <x:v>A1_OFFICIAL_MARKET</x:v>
      </x:c>
      <x:c r="J38" s="26" t="str">
        <x:v>ACTIVE</x:v>
      </x:c>
      <x:c r="K38" s="26" t="str">
        <x:v>SCALE_BATCH_01 availability/identity/P0 evidence.</x:v>
      </x:c>
      <x:c r="L38" s="26" t="str">
        <x:v>https://subaru.com.tr/</x:v>
      </x:c>
      <x:c r="M38" s="26" t="str">
        <x:v>observed 2026-08-14</x:v>
      </x:c>
      <x:c r="N38" s="26" t="n">
        <x:v>46248</x:v>
      </x:c>
      <x:c r="O38" s="26" t="str">
        <x:v>b1b04441c3e9168e316d8fc0214306d8c8e859e2d536f87b826d557ad68341a3</x:v>
      </x:c>
      <x:c r="P38" s="26" t="str">
        <x:v>data/cars/vehicle_evidence/source_snapshots/SRC-000039/2026-08-14/source.html</x:v>
      </x:c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 t="str">
        <x:v>SRC-000040</x:v>
      </x:c>
      <x:c r="B39" s="26" t="str">
        <x:v>Škoda Türkiye</x:v>
      </x:c>
      <x:c r="C39" s="26" t="str">
        <x:v>Škoda Scala Türkiye model ve teknik bilgiler</x:v>
      </x:c>
      <x:c r="D39" s="26" t="str">
        <x:v>OFFICIAL_WEB</x:v>
      </x:c>
      <x:c r="E39" s="26" t="str">
        <x:v>https://www.skoda.com.tr/modeller/scala</x:v>
      </x:c>
      <x:c r="F39" s="26" t="str">
        <x:v>TR</x:v>
      </x:c>
      <x:c r="G39" s="36" t="str"/>
      <x:c r="H39" s="36" t="n">
        <x:v>46248</x:v>
      </x:c>
      <x:c r="I39" s="26" t="str">
        <x:v>A1_OFFICIAL_MARKET</x:v>
      </x:c>
      <x:c r="J39" s="26" t="str">
        <x:v>ACTIVE</x:v>
      </x:c>
      <x:c r="K39" s="26" t="str">
        <x:v>SCALE_BATCH_01 availability/identity/P0 evidence.</x:v>
      </x:c>
      <x:c r="L39" s="26" t="str">
        <x:v>https://www.skoda.com.tr/modeller/scala</x:v>
      </x:c>
      <x:c r="M39" s="26" t="str">
        <x:v>observed 2026-08-14</x:v>
      </x:c>
      <x:c r="N39" s="26" t="n">
        <x:v>46248</x:v>
      </x:c>
      <x:c r="O39" s="26" t="str">
        <x:v>f1f6971ab506a7ca5e926f680aae291261d8c96c3ce9f073c3b209cbceecdfe7</x:v>
      </x:c>
      <x:c r="P39" s="26" t="str">
        <x:v>data/cars/vehicle_evidence/source_snapshots/SRC-000040/2026-08-14/source.html</x:v>
      </x:c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 t="str">
        <x:v>SRC-000041</x:v>
      </x:c>
      <x:c r="B40" s="26" t="str">
        <x:v>Dacia Türkiye</x:v>
      </x:c>
      <x:c r="C40" s="26" t="str">
        <x:v>Yeni Jogger Türkiye konfigüratörü</x:v>
      </x:c>
      <x:c r="D40" s="26" t="str">
        <x:v>OFFICIAL_WEB</x:v>
      </x:c>
      <x:c r="E40" s="26" t="str">
        <x:v>https://www.dacia.com.tr/modeller/yeni-jogger/konfigurator-yeni.html</x:v>
      </x:c>
      <x:c r="F40" s="26" t="str">
        <x:v>TR</x:v>
      </x:c>
      <x:c r="G40" s="36" t="str"/>
      <x:c r="H40" s="36" t="n">
        <x:v>46248</x:v>
      </x:c>
      <x:c r="I40" s="26" t="str">
        <x:v>A1_OFFICIAL_MARKET</x:v>
      </x:c>
      <x:c r="J40" s="26" t="str">
        <x:v>ACTIVE</x:v>
      </x:c>
      <x:c r="K40" s="26" t="str">
        <x:v>POST_BATCH01_HARDENING closure attempt: current Extreme trim and available powertrain choices; rendered default remains TCe 110, so Eco-G 120 auto model-year linkage is not promoted.</x:v>
      </x:c>
      <x:c r="L40" s="26" t="str">
        <x:v>https://www.dacia.com.tr/modeller/yeni-jogger/konfigurator-yeni.html</x:v>
      </x:c>
      <x:c r="M40" s="26" t="str">
        <x:v>observed 2026-08-14</x:v>
      </x:c>
      <x:c r="N40" s="26" t="n">
        <x:v>46248</x:v>
      </x:c>
      <x:c r="O40" s="26" t="str">
        <x:v>f0f21ffecd8db4fed17613d40c3895b3d8183d1f01f7849e23acf26fd7607ce3</x:v>
      </x:c>
      <x:c r="P40" s="26" t="str">
        <x:v>data/cars/vehicle_evidence/source_snapshots/SRC-000041/2026-08-14/source.html</x:v>
      </x:c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 t="str">
        <x:v>SRC-000042</x:v>
      </x:c>
      <x:c r="B41" s="26" t="str">
        <x:v>Subaru Türkiye</x:v>
      </x:c>
      <x:c r="C41" s="26" t="str">
        <x:v>Yeni Forester Donanım ve Teknik Özellikler Föyü</x:v>
      </x:c>
      <x:c r="D41" s="26" t="str">
        <x:v>OFFICIAL_TECH_SPEC</x:v>
      </x:c>
      <x:c r="E41" s="26" t="str">
        <x:v>https://www.subaru.com.tr/documents/25S_FOR_EC_4syf_tr_181124-teknik-foy.pdf</x:v>
      </x:c>
      <x:c r="F41" s="26" t="str">
        <x:v>TR</x:v>
      </x:c>
      <x:c r="G41" s="36" t="str"/>
      <x:c r="H41" s="36" t="n">
        <x:v>46248</x:v>
      </x:c>
      <x:c r="I41" s="26" t="str">
        <x:v>A1_OFFICIAL_MARKET</x:v>
      </x:c>
      <x:c r="J41" s="26" t="str">
        <x:v>ACTIVE</x:v>
      </x:c>
      <x:c r="K41" s="26" t="str">
        <x:v>POST_BATCH01_HARDENING: official Turkey sheet ties 2.0i Style to 1995 cc e-BOXER, Lineartronic CVT and active-torque-distribution AWD.</x:v>
      </x:c>
      <x:c r="L41" s="26" t="str">
        <x:v>https://www.subaru.com.tr/documents/25S_FOR_EC_4syf_tr_181124-teknik-foy.pdf</x:v>
      </x:c>
      <x:c r="M41" s="26" t="str">
        <x:v>observed 2026-08-14</x:v>
      </x:c>
      <x:c r="N41" s="26" t="n">
        <x:v>46248</x:v>
      </x:c>
      <x:c r="O41" s="26" t="str">
        <x:v>a1ab49c0c41b1c0d0786a13961b281e33c9c91f5c8efd2330eb2db45f76f85d6</x:v>
      </x:c>
      <x:c r="P41" s="26" t="str">
        <x:v>data/cars/vehicle_evidence/source_snapshots/SRC-000042/2026-08-14/source.pdf</x:v>
      </x:c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 t="str">
        <x:v>SRC-000043</x:v>
      </x:c>
      <x:c r="B42" s="26" t="str">
        <x:v>Subaru Türkiye</x:v>
      </x:c>
      <x:c r="C42" s="26" t="str">
        <x:v>Yetkili Satıcı Fiyat Listesi — Ağustos 2026</x:v>
      </x:c>
      <x:c r="D42" s="26" t="str">
        <x:v>OFFICIAL_PRICE_LIST</x:v>
      </x:c>
      <x:c r="E42" s="26" t="str">
        <x:v>https://subaru.com.tr/documents/Subaru_BayiFiyatListesi_Guncel.pdf</x:v>
      </x:c>
      <x:c r="F42" s="26" t="str">
        <x:v>TR</x:v>
      </x:c>
      <x:c r="G42" s="36" t="n">
        <x:v>46248</x:v>
      </x:c>
      <x:c r="H42" s="36" t="n">
        <x:v>46248</x:v>
      </x:c>
      <x:c r="I42" s="26" t="str">
        <x:v>A1_OFFICIAL_MARKET</x:v>
      </x:c>
      <x:c r="J42" s="26" t="str">
        <x:v>ACTIVE</x:v>
      </x:c>
      <x:c r="K42" s="26" t="str">
        <x:v>Effective 1 August 2026; explicitly lists 2026 model-year Forester 2.0i e-BOXER Style.</x:v>
      </x:c>
      <x:c r="L42" s="26" t="str">
        <x:v>https://subaru.com.tr/documents/Subaru_BayiFiyatListesi_Guncel.pdf</x:v>
      </x:c>
      <x:c r="M42" s="26" t="str">
        <x:v>effective 2026-08-01</x:v>
      </x:c>
      <x:c r="N42" s="26" t="n">
        <x:v>46248</x:v>
      </x:c>
      <x:c r="O42" s="26" t="str">
        <x:v>8c38d1be434f59b0ec2462b53e40a205125dff631dc66675c2c625cdae89f794</x:v>
      </x:c>
      <x:c r="P42" s="26" t="str">
        <x:v>data/cars/vehicle_evidence/source_snapshots/SRC-000043/2026-08-14/source.pdf</x:v>
      </x:c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 t="str">
        <x:v>SRC-000044</x:v>
      </x:c>
      <x:c r="B43" s="26" t="str">
        <x:v>Škoda Türkiye</x:v>
      </x:c>
      <x:c r="C43" s="26" t="str">
        <x:v>Škoda Türkiye 2026 model yılı fiyat listesi</x:v>
      </x:c>
      <x:c r="D43" s="26" t="str">
        <x:v>OFFICIAL_PRICE_LIST</x:v>
      </x:c>
      <x:c r="E43" s="26" t="str">
        <x:v>https://www.skoda.com.tr/fiyat-listesi</x:v>
      </x:c>
      <x:c r="F43" s="26" t="str">
        <x:v>TR</x:v>
      </x:c>
      <x:c r="G43" s="36" t="str"/>
      <x:c r="H43" s="36" t="n">
        <x:v>46248</x:v>
      </x:c>
      <x:c r="I43" s="26" t="str">
        <x:v>A1_OFFICIAL_MARKET</x:v>
      </x:c>
      <x:c r="J43" s="26" t="str">
        <x:v>ACTIVE</x:v>
      </x:c>
      <x:c r="K43" s="26" t="str">
        <x:v>POST_BATCH01_HARDENING: official current price-list UI identifies Scala in the 2026 model-year set; exact Premium/1.0 TSI 115 PS DSG linkage is in SRC-000038.</x:v>
      </x:c>
      <x:c r="L43" s="26" t="str">
        <x:v>https://www.skoda.com.tr/fiyat-listesi</x:v>
      </x:c>
      <x:c r="M43" s="26" t="str">
        <x:v>observed 2026-08-14</x:v>
      </x:c>
      <x:c r="N43" s="26" t="n">
        <x:v>46248</x:v>
      </x:c>
      <x:c r="O43" s="26" t="str">
        <x:v>fb6d6361ca215f5cde279c678794199823db6972e68ac80acfc875a5f86f3de7</x:v>
      </x:c>
      <x:c r="P43" s="26" t="str">
        <x:v>data/cars/vehicle_evidence/source_snapshots/SRC-000044/2026-08-14/source.html</x:v>
      </x:c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36"/>
      <x:c r="H44" s="3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36"/>
      <x:c r="H45" s="3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36"/>
      <x:c r="H46" s="3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36"/>
      <x:c r="H47" s="3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36"/>
      <x:c r="H48" s="3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36"/>
      <x:c r="H49" s="3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36"/>
      <x:c r="H50" s="3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36"/>
      <x:c r="H51" s="3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36"/>
      <x:c r="H52" s="3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36"/>
      <x:c r="H53" s="3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36"/>
      <x:c r="H54" s="3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36"/>
      <x:c r="H55" s="3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36"/>
      <x:c r="H56" s="3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36"/>
      <x:c r="H57" s="3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36"/>
      <x:c r="H58" s="3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36"/>
      <x:c r="H59" s="3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36"/>
      <x:c r="H60" s="3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36"/>
      <x:c r="H61" s="3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36"/>
      <x:c r="H62" s="3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36"/>
      <x:c r="H63" s="3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36"/>
      <x:c r="H64" s="3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36"/>
      <x:c r="H65" s="3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36"/>
      <x:c r="H66" s="3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36"/>
      <x:c r="H67" s="3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36"/>
      <x:c r="H68" s="3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36"/>
      <x:c r="H69" s="3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36"/>
      <x:c r="H70" s="3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36"/>
      <x:c r="H71" s="3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36"/>
      <x:c r="H72" s="3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36"/>
      <x:c r="H73" s="3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36"/>
      <x:c r="H74" s="3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36"/>
      <x:c r="H75" s="3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36"/>
      <x:c r="H76" s="3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36"/>
      <x:c r="H77" s="3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36"/>
      <x:c r="H78" s="3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36"/>
      <x:c r="H79" s="3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36"/>
      <x:c r="H80" s="3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36"/>
      <x:c r="H81" s="3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36"/>
      <x:c r="H82" s="3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36"/>
      <x:c r="H83" s="3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36"/>
      <x:c r="H84" s="3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36"/>
      <x:c r="H85" s="3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36"/>
      <x:c r="H86" s="3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36"/>
      <x:c r="H87" s="3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36"/>
      <x:c r="H88" s="3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36"/>
      <x:c r="H89" s="3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36"/>
      <x:c r="H90" s="3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36"/>
      <x:c r="H91" s="3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36"/>
      <x:c r="H92" s="3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36"/>
      <x:c r="H93" s="3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36"/>
      <x:c r="H94" s="3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36"/>
      <x:c r="H95" s="3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36"/>
      <x:c r="H96" s="3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36"/>
      <x:c r="H97" s="3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36"/>
      <x:c r="H98" s="3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36"/>
      <x:c r="H99" s="3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36"/>
      <x:c r="H100" s="3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36"/>
      <x:c r="H101" s="3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36"/>
      <x:c r="H102" s="3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36"/>
      <x:c r="H103" s="3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36"/>
      <x:c r="H104" s="3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36"/>
      <x:c r="H105" s="3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36"/>
      <x:c r="H106" s="3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36"/>
      <x:c r="H107" s="3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36"/>
      <x:c r="H108" s="3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36"/>
      <x:c r="H109" s="3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36"/>
      <x:c r="H110" s="3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36"/>
      <x:c r="H111" s="3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36"/>
      <x:c r="H112" s="3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36"/>
      <x:c r="H113" s="3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36"/>
      <x:c r="H114" s="3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36"/>
      <x:c r="H115" s="3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36"/>
      <x:c r="H116" s="3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36"/>
      <x:c r="H117" s="3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36"/>
      <x:c r="H118" s="3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36"/>
      <x:c r="H119" s="3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36"/>
      <x:c r="H120" s="3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36"/>
      <x:c r="H121" s="3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36"/>
      <x:c r="H122" s="3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36"/>
      <x:c r="H123" s="3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36"/>
      <x:c r="H124" s="3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36"/>
      <x:c r="H125" s="3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36"/>
      <x:c r="H126" s="3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36"/>
      <x:c r="H127" s="3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36"/>
      <x:c r="H128" s="3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36"/>
      <x:c r="H129" s="3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36"/>
      <x:c r="H130" s="3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36"/>
      <x:c r="H131" s="3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36"/>
      <x:c r="H132" s="3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36"/>
      <x:c r="H133" s="3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36"/>
      <x:c r="H134" s="3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36"/>
      <x:c r="H135" s="3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36"/>
      <x:c r="H136" s="3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36"/>
      <x:c r="H137" s="3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36"/>
      <x:c r="H138" s="3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36"/>
      <x:c r="H139" s="3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36"/>
      <x:c r="H140" s="3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36"/>
      <x:c r="H141" s="3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36"/>
      <x:c r="H142" s="3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36"/>
      <x:c r="H143" s="3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36"/>
      <x:c r="H144" s="3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36"/>
      <x:c r="H145" s="3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36"/>
      <x:c r="H146" s="3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36"/>
      <x:c r="H147" s="3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36"/>
      <x:c r="H148" s="3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36"/>
      <x:c r="H149" s="3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36"/>
      <x:c r="H150" s="3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36"/>
      <x:c r="H151" s="3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36"/>
      <x:c r="H152" s="3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36"/>
      <x:c r="H153" s="3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36"/>
      <x:c r="H154" s="3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36"/>
      <x:c r="H155" s="3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36"/>
      <x:c r="H156" s="3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36"/>
      <x:c r="H157" s="3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36"/>
      <x:c r="H158" s="3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36"/>
      <x:c r="H159" s="3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36"/>
      <x:c r="H160" s="3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36"/>
      <x:c r="H161" s="3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36"/>
      <x:c r="H162" s="3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36"/>
      <x:c r="H163" s="3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36"/>
      <x:c r="H164" s="3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36"/>
      <x:c r="H165" s="3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36"/>
      <x:c r="H166" s="3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36"/>
      <x:c r="H167" s="3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36"/>
      <x:c r="H168" s="3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36"/>
      <x:c r="H169" s="3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36"/>
      <x:c r="H170" s="3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36"/>
      <x:c r="H171" s="3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36"/>
      <x:c r="H172" s="3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36"/>
      <x:c r="H173" s="3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36"/>
      <x:c r="H174" s="3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36"/>
      <x:c r="H175" s="3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36"/>
      <x:c r="H176" s="3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36"/>
      <x:c r="H177" s="3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36"/>
      <x:c r="H178" s="3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36"/>
      <x:c r="H179" s="3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36"/>
      <x:c r="H180" s="3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36"/>
      <x:c r="H181" s="3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36"/>
      <x:c r="H182" s="3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36"/>
      <x:c r="H183" s="3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36"/>
      <x:c r="H184" s="3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36"/>
      <x:c r="H185" s="3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36"/>
      <x:c r="H186" s="3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36"/>
      <x:c r="H187" s="3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36"/>
      <x:c r="H188" s="3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36"/>
      <x:c r="H189" s="3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36"/>
      <x:c r="H190" s="3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36"/>
      <x:c r="H191" s="3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36"/>
      <x:c r="H192" s="3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36"/>
      <x:c r="H193" s="3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36"/>
      <x:c r="H194" s="3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36"/>
      <x:c r="H195" s="3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36"/>
      <x:c r="H196" s="3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36"/>
      <x:c r="H197" s="3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36"/>
      <x:c r="H198" s="3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36"/>
      <x:c r="H199" s="3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36"/>
      <x:c r="H200" s="3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36"/>
      <x:c r="H201" s="3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36"/>
      <x:c r="H202" s="3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36"/>
      <x:c r="H203" s="3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36"/>
      <x:c r="H204" s="3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36"/>
      <x:c r="H205" s="3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36"/>
      <x:c r="H206" s="3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36"/>
      <x:c r="H207" s="3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36"/>
      <x:c r="H208" s="3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36"/>
      <x:c r="H209" s="3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36"/>
      <x:c r="H210" s="3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36"/>
      <x:c r="H211" s="3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36"/>
      <x:c r="H212" s="3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36"/>
      <x:c r="H213" s="3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36"/>
      <x:c r="H214" s="3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36"/>
      <x:c r="H215" s="3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36"/>
      <x:c r="H216" s="3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36"/>
      <x:c r="H217" s="3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36"/>
      <x:c r="H218" s="3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36"/>
      <x:c r="H219" s="3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36"/>
      <x:c r="H220" s="3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36"/>
      <x:c r="H221" s="3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36"/>
      <x:c r="H222" s="3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36"/>
      <x:c r="H223" s="3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36"/>
      <x:c r="H224" s="3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36"/>
      <x:c r="H225" s="3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36"/>
      <x:c r="H226" s="3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36"/>
      <x:c r="H227" s="3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36"/>
      <x:c r="H228" s="3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36"/>
      <x:c r="H229" s="3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36"/>
      <x:c r="H230" s="3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36"/>
      <x:c r="H231" s="3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36"/>
      <x:c r="H232" s="3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36"/>
      <x:c r="H233" s="3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36"/>
      <x:c r="H234" s="3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36"/>
      <x:c r="H235" s="3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36"/>
      <x:c r="H236" s="3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36"/>
      <x:c r="H237" s="3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36"/>
      <x:c r="H238" s="3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36"/>
      <x:c r="H239" s="3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36"/>
      <x:c r="H240" s="3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36"/>
      <x:c r="H241" s="3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36"/>
      <x:c r="H242" s="3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36"/>
      <x:c r="H243" s="3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36"/>
      <x:c r="H244" s="3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36"/>
      <x:c r="H245" s="3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36"/>
      <x:c r="H246" s="3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36"/>
      <x:c r="H247" s="3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36"/>
      <x:c r="H248" s="3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36"/>
      <x:c r="H249" s="3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36"/>
      <x:c r="H250" s="3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36"/>
      <x:c r="H251" s="3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36"/>
      <x:c r="H252" s="3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36"/>
      <x:c r="H253" s="3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36"/>
      <x:c r="H254" s="3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36"/>
      <x:c r="H255" s="3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36"/>
      <x:c r="H256" s="3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36"/>
      <x:c r="H257" s="3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36"/>
      <x:c r="H258" s="3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36"/>
      <x:c r="H259" s="3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36"/>
      <x:c r="H260" s="3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36"/>
      <x:c r="H261" s="3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36"/>
      <x:c r="H262" s="3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36"/>
      <x:c r="H263" s="3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36"/>
      <x:c r="H264" s="3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36"/>
      <x:c r="H265" s="3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36"/>
      <x:c r="H266" s="3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36"/>
      <x:c r="H267" s="3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36"/>
      <x:c r="H268" s="3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36"/>
      <x:c r="H269" s="3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36"/>
      <x:c r="H270" s="3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36"/>
      <x:c r="H271" s="3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36"/>
      <x:c r="H272" s="3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36"/>
      <x:c r="H273" s="3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36"/>
      <x:c r="H274" s="3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36"/>
      <x:c r="H275" s="3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36"/>
      <x:c r="H276" s="3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36"/>
      <x:c r="H277" s="3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36"/>
      <x:c r="H278" s="3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36"/>
      <x:c r="H279" s="3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36"/>
      <x:c r="H280" s="3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36"/>
      <x:c r="H281" s="3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36"/>
      <x:c r="H282" s="3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36"/>
      <x:c r="H283" s="3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36"/>
      <x:c r="H284" s="3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36"/>
      <x:c r="H285" s="3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36"/>
      <x:c r="H286" s="3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36"/>
      <x:c r="H287" s="3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36"/>
      <x:c r="H288" s="3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36"/>
      <x:c r="H289" s="3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36"/>
      <x:c r="H290" s="3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36"/>
      <x:c r="H291" s="3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36"/>
      <x:c r="H292" s="3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36"/>
      <x:c r="H293" s="3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36"/>
      <x:c r="H294" s="3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36"/>
      <x:c r="H295" s="3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36"/>
      <x:c r="H296" s="3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36"/>
      <x:c r="H297" s="3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36"/>
      <x:c r="H298" s="3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36"/>
      <x:c r="H299" s="3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36"/>
      <x:c r="H300" s="3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36"/>
      <x:c r="H301" s="3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36"/>
      <x:c r="H302" s="3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36"/>
      <x:c r="H303" s="3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36"/>
      <x:c r="H304" s="3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36"/>
      <x:c r="H305" s="3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36"/>
      <x:c r="H306" s="3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36"/>
      <x:c r="H307" s="3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36"/>
      <x:c r="H308" s="3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36"/>
      <x:c r="H309" s="3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36"/>
      <x:c r="H310" s="3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36"/>
      <x:c r="H311" s="3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36"/>
      <x:c r="H312" s="3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36"/>
      <x:c r="H313" s="3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36"/>
      <x:c r="H314" s="3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36"/>
      <x:c r="H315" s="3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36"/>
      <x:c r="H316" s="3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36"/>
      <x:c r="H317" s="3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36"/>
      <x:c r="H318" s="3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36"/>
      <x:c r="H319" s="3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36"/>
      <x:c r="H320" s="3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36"/>
      <x:c r="H321" s="3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36"/>
      <x:c r="H322" s="3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36"/>
      <x:c r="H323" s="3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36"/>
      <x:c r="H324" s="3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36"/>
      <x:c r="H325" s="3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36"/>
      <x:c r="H326" s="3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36"/>
      <x:c r="H327" s="3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36"/>
      <x:c r="H328" s="3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36"/>
      <x:c r="H329" s="3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36"/>
      <x:c r="H330" s="3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36"/>
      <x:c r="H331" s="3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36"/>
      <x:c r="H332" s="3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36"/>
      <x:c r="H333" s="3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36"/>
      <x:c r="H334" s="3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36"/>
      <x:c r="H335" s="3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36"/>
      <x:c r="H336" s="3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36"/>
      <x:c r="H337" s="3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36"/>
      <x:c r="H338" s="3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36"/>
      <x:c r="H339" s="3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36"/>
      <x:c r="H340" s="3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36"/>
      <x:c r="H341" s="3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36"/>
      <x:c r="H342" s="3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36"/>
      <x:c r="H343" s="3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36"/>
      <x:c r="H344" s="3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36"/>
      <x:c r="H345" s="3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36"/>
      <x:c r="H346" s="3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36"/>
      <x:c r="H347" s="3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36"/>
      <x:c r="H348" s="3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36"/>
      <x:c r="H349" s="3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36"/>
      <x:c r="H350" s="3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36"/>
      <x:c r="H351" s="3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36"/>
      <x:c r="H352" s="3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36"/>
      <x:c r="H353" s="3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36"/>
      <x:c r="H354" s="3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36"/>
      <x:c r="H355" s="3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36"/>
      <x:c r="H356" s="3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36"/>
      <x:c r="H357" s="3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36"/>
      <x:c r="H358" s="3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36"/>
      <x:c r="H359" s="3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36"/>
      <x:c r="H360" s="3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36"/>
      <x:c r="H361" s="3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36"/>
      <x:c r="H362" s="3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36"/>
      <x:c r="H363" s="3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36"/>
      <x:c r="H364" s="3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36"/>
      <x:c r="H365" s="3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36"/>
      <x:c r="H366" s="3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36"/>
      <x:c r="H367" s="3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36"/>
      <x:c r="H368" s="3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36"/>
      <x:c r="H369" s="3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36"/>
      <x:c r="H370" s="3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36"/>
      <x:c r="H371" s="3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36"/>
      <x:c r="H372" s="3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36"/>
      <x:c r="H373" s="3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36"/>
      <x:c r="H374" s="3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36"/>
      <x:c r="H375" s="3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36"/>
      <x:c r="H376" s="3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36"/>
      <x:c r="H377" s="3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36"/>
      <x:c r="H378" s="3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36"/>
      <x:c r="H379" s="3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36"/>
      <x:c r="H380" s="3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36"/>
      <x:c r="H381" s="3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36"/>
      <x:c r="H382" s="3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36"/>
      <x:c r="H383" s="3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36"/>
      <x:c r="H384" s="3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36"/>
      <x:c r="H385" s="3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36"/>
      <x:c r="H386" s="3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36"/>
      <x:c r="H387" s="3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36"/>
      <x:c r="H388" s="3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36"/>
      <x:c r="H389" s="3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36"/>
      <x:c r="H390" s="3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36"/>
      <x:c r="H391" s="3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36"/>
      <x:c r="H392" s="3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36"/>
      <x:c r="H393" s="3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36"/>
      <x:c r="H394" s="3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36"/>
      <x:c r="H395" s="3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36"/>
      <x:c r="H396" s="3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36"/>
      <x:c r="H397" s="3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36"/>
      <x:c r="H398" s="3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36"/>
      <x:c r="H399" s="3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36"/>
      <x:c r="H400" s="3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36"/>
      <x:c r="H401" s="3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36"/>
      <x:c r="H402" s="3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36"/>
      <x:c r="H403" s="3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36"/>
      <x:c r="H404" s="3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36"/>
      <x:c r="H405" s="3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36"/>
      <x:c r="H406" s="3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36"/>
      <x:c r="H407" s="3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36"/>
      <x:c r="H408" s="3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36"/>
      <x:c r="H409" s="3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36"/>
      <x:c r="H410" s="3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36"/>
      <x:c r="H411" s="3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36"/>
      <x:c r="H412" s="3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36"/>
      <x:c r="H413" s="3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36"/>
      <x:c r="H414" s="3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36"/>
      <x:c r="H415" s="3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36"/>
      <x:c r="H416" s="3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36"/>
      <x:c r="H417" s="3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36"/>
      <x:c r="H418" s="3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36"/>
      <x:c r="H419" s="3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36"/>
      <x:c r="H420" s="3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36"/>
      <x:c r="H421" s="3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36"/>
      <x:c r="H422" s="3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36"/>
      <x:c r="H423" s="3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36"/>
      <x:c r="H424" s="3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36"/>
      <x:c r="H425" s="3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36"/>
      <x:c r="H426" s="3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36"/>
      <x:c r="H427" s="3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36"/>
      <x:c r="H428" s="3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36"/>
      <x:c r="H429" s="3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36"/>
      <x:c r="H430" s="3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36"/>
      <x:c r="H431" s="3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36"/>
      <x:c r="H432" s="3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36"/>
      <x:c r="H433" s="3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36"/>
      <x:c r="H434" s="3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36"/>
      <x:c r="H435" s="3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36"/>
      <x:c r="H436" s="3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36"/>
      <x:c r="H437" s="3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36"/>
      <x:c r="H438" s="3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36"/>
      <x:c r="H439" s="3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36"/>
      <x:c r="H440" s="3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36"/>
      <x:c r="H441" s="3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36"/>
      <x:c r="H442" s="3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36"/>
      <x:c r="H443" s="3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36"/>
      <x:c r="H444" s="3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36"/>
      <x:c r="H445" s="3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36"/>
      <x:c r="H446" s="3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36"/>
      <x:c r="H447" s="3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36"/>
      <x:c r="H448" s="3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36"/>
      <x:c r="H449" s="3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36"/>
      <x:c r="H450" s="3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36"/>
      <x:c r="H451" s="3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36"/>
      <x:c r="H452" s="3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36"/>
      <x:c r="H453" s="3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36"/>
      <x:c r="H454" s="3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36"/>
      <x:c r="H455" s="3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36"/>
      <x:c r="H456" s="3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36"/>
      <x:c r="H457" s="3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36"/>
      <x:c r="H458" s="3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36"/>
      <x:c r="H459" s="3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36"/>
      <x:c r="H460" s="3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36"/>
      <x:c r="H461" s="3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36"/>
      <x:c r="H462" s="3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36"/>
      <x:c r="H463" s="3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36"/>
      <x:c r="H464" s="3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36"/>
      <x:c r="H465" s="3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36"/>
      <x:c r="H466" s="3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36"/>
      <x:c r="H467" s="3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36"/>
      <x:c r="H468" s="3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36"/>
      <x:c r="H469" s="3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36"/>
      <x:c r="H470" s="3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36"/>
      <x:c r="H471" s="3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36"/>
      <x:c r="H472" s="3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36"/>
      <x:c r="H473" s="3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36"/>
      <x:c r="H474" s="3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36"/>
      <x:c r="H475" s="3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36"/>
      <x:c r="H476" s="3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36"/>
      <x:c r="H477" s="3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36"/>
      <x:c r="H478" s="3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36"/>
      <x:c r="H479" s="3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36"/>
      <x:c r="H480" s="3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36"/>
      <x:c r="H481" s="3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36"/>
      <x:c r="H482" s="3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36"/>
      <x:c r="H483" s="3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36"/>
      <x:c r="H484" s="3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36"/>
      <x:c r="H485" s="3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36"/>
      <x:c r="H486" s="3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36"/>
      <x:c r="H487" s="3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36"/>
      <x:c r="H488" s="3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36"/>
      <x:c r="H489" s="3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36"/>
      <x:c r="H490" s="3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36"/>
      <x:c r="H491" s="3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36"/>
      <x:c r="H492" s="3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36"/>
      <x:c r="H493" s="3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36"/>
      <x:c r="H494" s="3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36"/>
      <x:c r="H495" s="3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36"/>
      <x:c r="H496" s="3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36"/>
      <x:c r="H497" s="3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36"/>
      <x:c r="H498" s="3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36"/>
      <x:c r="H499" s="3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36"/>
      <x:c r="H500" s="3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2">
      <x:c r="A502" s="32"/>
      <x:c r="B502" s="32"/>
      <x:c r="C502" s="32"/>
      <x:c r="D502" s="32"/>
      <x:c r="E502" s="32"/>
      <x:c r="F502" s="32"/>
    </x:row>
    <x:row r="503">
      <x:c r="A503" s="32"/>
      <x:c r="B503" s="32"/>
      <x:c r="C503" s="32"/>
      <x:c r="D503" s="32"/>
      <x:c r="E503" s="32"/>
      <x:c r="F503" s="32"/>
    </x:row>
  </x:sheetData>
  <x:dataValidations count="4">
    <x:dataValidation type="list" sqref="D2:D500">
      <x:formula1>'12_LISTS'!$B$98:$B$109</x:formula1>
    </x:dataValidation>
    <x:dataValidation type="list" sqref="F2:F500">
      <x:formula1>'12_LISTS'!$B$59:$B$59</x:formula1>
    </x:dataValidation>
    <x:dataValidation type="list" sqref="I2:I500">
      <x:formula1>'12_LISTS'!$B$110:$B$117</x:formula1>
    </x:dataValidation>
    <x:dataValidation type="list" sqref="J2:J500">
      <x:formula1>'12_LISTS'!$B$118:$B$122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13661fb9444ae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6" hidden="0" customWidth="1"/>
    <x:col min="5" max="5" width="26" hidden="0" customWidth="1"/>
    <x:col min="6" max="6" width="22" hidden="0" customWidth="1"/>
    <x:col min="7" max="7" width="20" hidden="0" customWidth="1"/>
    <x:col min="8" max="8" width="22" hidden="0" customWidth="1"/>
    <x:col min="9" max="9" width="16" hidden="0" customWidth="1"/>
    <x:col min="10" max="10" width="20" hidden="0" customWidth="1"/>
    <x:col min="11" max="11" width="40" hidden="0" customWidth="1"/>
  </x:cols>
  <x:sheetData>
    <x:row r="1">
      <x:c r="A1" s="6" t="str">
        <x:v>assertion_id</x:v>
      </x:c>
      <x:c r="B1" s="6" t="str">
        <x:v>evidence_type</x:v>
      </x:c>
      <x:c r="C1" s="6" t="str">
        <x:v>evidence_id</x:v>
      </x:c>
      <x:c r="D1" s="6" t="str">
        <x:v>source_id</x:v>
      </x:c>
      <x:c r="E1" s="6" t="str">
        <x:v>source_location</x:v>
      </x:c>
      <x:c r="F1" s="6" t="str">
        <x:v>extraction_method</x:v>
      </x:c>
      <x:c r="G1" s="6" t="str">
        <x:v>verification_status</x:v>
      </x:c>
      <x:c r="H1" s="6" t="str">
        <x:v>applicability_status</x:v>
      </x:c>
      <x:c r="I1" s="6" t="str">
        <x:v>verified_at</x:v>
      </x:c>
      <x:c r="J1" s="6" t="str">
        <x:v>verified_by</x:v>
      </x:c>
      <x:c r="K1" s="6" t="str">
        <x:v>notes</x:v>
      </x:c>
    </x:row>
    <x:row r="2">
      <x:c r="A2" s="26" t="str">
        <x:v>AST-000001</x:v>
      </x:c>
      <x:c r="B2" s="26" t="str">
        <x:v>TECHNICAL_FACT</x:v>
      </x:c>
      <x:c r="C2" s="26" t="str">
        <x:v>FAC-000001</x:v>
      </x:c>
      <x:c r="D2" s="26" t="str">
        <x:v>SRC-000025</x:v>
      </x:c>
      <x:c r="E2" s="26" t="str">
        <x:v>bagaj kapasitesi / minimum bagaj hacmi</x:v>
      </x:c>
      <x:c r="F2" s="26" t="str">
        <x:v>MANUAL</x:v>
      </x:c>
      <x:c r="G2" s="26" t="str">
        <x:v>VERIFIED</x:v>
      </x:c>
      <x:c r="H2" s="26" t="str">
        <x:v>EXACT</x:v>
      </x:c>
      <x:c r="I2" s="36" t="n">
        <x:v>46248</x:v>
      </x:c>
      <x:c r="J2" s="26" t="str">
        <x:v>ChatGPT/web research</x:v>
      </x:c>
      <x:c r="K2" s="26" t="str">
        <x:v>Official Dacia source gives both 328 dm3 VDA and 410 L.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AST-000002</x:v>
      </x:c>
      <x:c r="B3" s="26" t="str">
        <x:v>TECHNICAL_FACT</x:v>
      </x:c>
      <x:c r="C3" s="26" t="str">
        <x:v>FAC-000002</x:v>
      </x:c>
      <x:c r="D3" s="26" t="str">
        <x:v>SRC-000011</x:v>
      </x:c>
      <x:c r="E3" s="26" t="str">
        <x:v>technical data table</x:v>
      </x:c>
      <x:c r="F3" s="26" t="str">
        <x:v>MANUAL</x:v>
      </x:c>
      <x:c r="G3" s="26" t="str">
        <x:v>VERIFIED</x:v>
      </x:c>
      <x:c r="H3" s="26" t="str">
        <x:v>EXACT</x:v>
      </x:c>
      <x:c r="I3" s="36" t="n">
        <x:v>46248</x:v>
      </x:c>
      <x:c r="J3" s="26" t="str">
        <x:v>ChatGPT/web research</x:v>
      </x:c>
      <x:c r="K3" s="26" t="str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AST-000003</x:v>
      </x:c>
      <x:c r="B4" s="26" t="str">
        <x:v>TECHNICAL_FACT</x:v>
      </x:c>
      <x:c r="C4" s="26" t="str">
        <x:v>FAC-000003</x:v>
      </x:c>
      <x:c r="D4" s="26" t="str">
        <x:v>SRC-000011</x:v>
      </x:c>
      <x:c r="E4" s="26" t="str">
        <x:v>technical data table</x:v>
      </x:c>
      <x:c r="F4" s="26" t="str">
        <x:v>MANUAL</x:v>
      </x:c>
      <x:c r="G4" s="26" t="str">
        <x:v>VERIFIED</x:v>
      </x:c>
      <x:c r="H4" s="26" t="str">
        <x:v>EXACT</x:v>
      </x:c>
      <x:c r="I4" s="36" t="n">
        <x:v>46248</x:v>
      </x:c>
      <x:c r="J4" s="26" t="str">
        <x:v>ChatGPT/web research</x:v>
      </x:c>
      <x:c r="K4" s="26" t="str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AST-000004</x:v>
      </x:c>
      <x:c r="B5" s="26" t="str">
        <x:v>TECHNICAL_FACT</x:v>
      </x:c>
      <x:c r="C5" s="26" t="str">
        <x:v>FAC-000004</x:v>
      </x:c>
      <x:c r="D5" s="26" t="str">
        <x:v>SRC-000011</x:v>
      </x:c>
      <x:c r="E5" s="26" t="str">
        <x:v>technical data table</x:v>
      </x:c>
      <x:c r="F5" s="26" t="str">
        <x:v>MANUAL</x:v>
      </x:c>
      <x:c r="G5" s="26" t="str">
        <x:v>VERIFIED</x:v>
      </x:c>
      <x:c r="H5" s="26" t="str">
        <x:v>EXACT</x:v>
      </x:c>
      <x:c r="I5" s="36" t="n">
        <x:v>46248</x:v>
      </x:c>
      <x:c r="J5" s="26" t="str">
        <x:v>ChatGPT/web research</x:v>
      </x:c>
      <x:c r="K5" s="26" t="str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AST-000005</x:v>
      </x:c>
      <x:c r="B6" s="26" t="str">
        <x:v>TECHNICAL_FACT</x:v>
      </x:c>
      <x:c r="C6" s="26" t="str">
        <x:v>FAC-000005</x:v>
      </x:c>
      <x:c r="D6" s="26" t="str">
        <x:v>SRC-000011</x:v>
      </x:c>
      <x:c r="E6" s="26" t="str">
        <x:v>technical data table</x:v>
      </x:c>
      <x:c r="F6" s="26" t="str">
        <x:v>MANUAL</x:v>
      </x:c>
      <x:c r="G6" s="26" t="str">
        <x:v>VERIFIED</x:v>
      </x:c>
      <x:c r="H6" s="26" t="str">
        <x:v>EXACT</x:v>
      </x:c>
      <x:c r="I6" s="36" t="n">
        <x:v>46248</x:v>
      </x:c>
      <x:c r="J6" s="26" t="str">
        <x:v>ChatGPT/web research</x:v>
      </x:c>
      <x:c r="K6" s="26" t="str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AST-000006</x:v>
      </x:c>
      <x:c r="B7" s="26" t="str">
        <x:v>TECHNICAL_FACT</x:v>
      </x:c>
      <x:c r="C7" s="26" t="str">
        <x:v>FAC-000006</x:v>
      </x:c>
      <x:c r="D7" s="26" t="str">
        <x:v>SRC-000011</x:v>
      </x:c>
      <x:c r="E7" s="26" t="str">
        <x:v>technical data table</x:v>
      </x:c>
      <x:c r="F7" s="26" t="str">
        <x:v>MANUAL</x:v>
      </x:c>
      <x:c r="G7" s="26" t="str">
        <x:v>VERIFIED</x:v>
      </x:c>
      <x:c r="H7" s="26" t="str">
        <x:v>EXACT</x:v>
      </x:c>
      <x:c r="I7" s="36" t="n">
        <x:v>46248</x:v>
      </x:c>
      <x:c r="J7" s="26" t="str">
        <x:v>ChatGPT/web research</x:v>
      </x:c>
      <x:c r="K7" s="26" t="str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AST-000007</x:v>
      </x:c>
      <x:c r="B8" s="26" t="str">
        <x:v>TECHNICAL_FACT</x:v>
      </x:c>
      <x:c r="C8" s="26" t="str">
        <x:v>FAC-000007</x:v>
      </x:c>
      <x:c r="D8" s="26" t="str">
        <x:v>SRC-000011</x:v>
      </x:c>
      <x:c r="E8" s="26" t="str">
        <x:v>technical data table</x:v>
      </x:c>
      <x:c r="F8" s="26" t="str">
        <x:v>MANUAL</x:v>
      </x:c>
      <x:c r="G8" s="26" t="str">
        <x:v>VERIFIED</x:v>
      </x:c>
      <x:c r="H8" s="26" t="str">
        <x:v>EXACT</x:v>
      </x:c>
      <x:c r="I8" s="36" t="n">
        <x:v>46248</x:v>
      </x:c>
      <x:c r="J8" s="26" t="str">
        <x:v>ChatGPT/web research</x:v>
      </x:c>
      <x:c r="K8" s="26" t="str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AST-000008</x:v>
      </x:c>
      <x:c r="B9" s="26" t="str">
        <x:v>TECHNICAL_FACT</x:v>
      </x:c>
      <x:c r="C9" s="26" t="str">
        <x:v>FAC-000008</x:v>
      </x:c>
      <x:c r="D9" s="26" t="str">
        <x:v>SRC-000011</x:v>
      </x:c>
      <x:c r="E9" s="26" t="str">
        <x:v>technical data table</x:v>
      </x:c>
      <x:c r="F9" s="26" t="str">
        <x:v>MANUAL</x:v>
      </x:c>
      <x:c r="G9" s="26" t="str">
        <x:v>VERIFIED</x:v>
      </x:c>
      <x:c r="H9" s="26" t="str">
        <x:v>EXACT</x:v>
      </x:c>
      <x:c r="I9" s="36" t="n">
        <x:v>46248</x:v>
      </x:c>
      <x:c r="J9" s="26" t="str">
        <x:v>ChatGPT/web research</x:v>
      </x:c>
      <x:c r="K9" s="26" t="str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AST-000009</x:v>
      </x:c>
      <x:c r="B10" s="26" t="str">
        <x:v>TECHNICAL_FACT</x:v>
      </x:c>
      <x:c r="C10" s="26" t="str">
        <x:v>FAC-000009</x:v>
      </x:c>
      <x:c r="D10" s="26" t="str">
        <x:v>SRC-000011</x:v>
      </x:c>
      <x:c r="E10" s="26" t="str">
        <x:v>technical data table</x:v>
      </x:c>
      <x:c r="F10" s="26" t="str">
        <x:v>MANUAL</x:v>
      </x:c>
      <x:c r="G10" s="26" t="str">
        <x:v>VERIFIED</x:v>
      </x:c>
      <x:c r="H10" s="26" t="str">
        <x:v>EXACT</x:v>
      </x:c>
      <x:c r="I10" s="36" t="n">
        <x:v>46248</x:v>
      </x:c>
      <x:c r="J10" s="26" t="str">
        <x:v>ChatGPT/web research</x:v>
      </x:c>
      <x:c r="K10" s="26" t="str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AST-000010</x:v>
      </x:c>
      <x:c r="B11" s="26" t="str">
        <x:v>TECHNICAL_FACT</x:v>
      </x:c>
      <x:c r="C11" s="26" t="str">
        <x:v>FAC-000010</x:v>
      </x:c>
      <x:c r="D11" s="26" t="str">
        <x:v>SRC-000011</x:v>
      </x:c>
      <x:c r="E11" s="26" t="str">
        <x:v>technical data table</x:v>
      </x:c>
      <x:c r="F11" s="26" t="str">
        <x:v>MANUAL</x:v>
      </x:c>
      <x:c r="G11" s="26" t="str">
        <x:v>VERIFIED</x:v>
      </x:c>
      <x:c r="H11" s="26" t="str">
        <x:v>EXACT</x:v>
      </x:c>
      <x:c r="I11" s="36" t="n">
        <x:v>46248</x:v>
      </x:c>
      <x:c r="J11" s="26" t="str">
        <x:v>ChatGPT/web research</x:v>
      </x:c>
      <x:c r="K11" s="26" t="str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AST-000011</x:v>
      </x:c>
      <x:c r="B12" s="26" t="str">
        <x:v>TECHNICAL_FACT</x:v>
      </x:c>
      <x:c r="C12" s="26" t="str">
        <x:v>FAC-000011</x:v>
      </x:c>
      <x:c r="D12" s="26" t="str">
        <x:v>SRC-000011</x:v>
      </x:c>
      <x:c r="E12" s="26" t="str">
        <x:v>technical data table</x:v>
      </x:c>
      <x:c r="F12" s="26" t="str">
        <x:v>MANUAL</x:v>
      </x:c>
      <x:c r="G12" s="26" t="str">
        <x:v>VERIFIED</x:v>
      </x:c>
      <x:c r="H12" s="26" t="str">
        <x:v>EXACT</x:v>
      </x:c>
      <x:c r="I12" s="36" t="n">
        <x:v>46248</x:v>
      </x:c>
      <x:c r="J12" s="26" t="str">
        <x:v>ChatGPT/web research</x:v>
      </x:c>
      <x:c r="K12" s="26" t="str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AST-000012</x:v>
      </x:c>
      <x:c r="B13" s="26" t="str">
        <x:v>TECHNICAL_FACT</x:v>
      </x:c>
      <x:c r="C13" s="26" t="str">
        <x:v>FAC-000012</x:v>
      </x:c>
      <x:c r="D13" s="26" t="str">
        <x:v>SRC-000011</x:v>
      </x:c>
      <x:c r="E13" s="26" t="str">
        <x:v>fuel consumption section</x:v>
      </x:c>
      <x:c r="F13" s="26" t="str">
        <x:v>MANUAL</x:v>
      </x:c>
      <x:c r="G13" s="26" t="str">
        <x:v>CONFLICTING</x:v>
      </x:c>
      <x:c r="H13" s="26" t="str">
        <x:v>EXACT</x:v>
      </x:c>
      <x:c r="I13" s="36" t="str"/>
      <x:c r="J13" s="26" t="str">
        <x:v>ChatGPT/web research</x:v>
      </x:c>
      <x:c r="K13" s="26" t="str">
        <x:v>Do not average.</x:v>
      </x:c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AST-000013</x:v>
      </x:c>
      <x:c r="B14" s="26" t="str">
        <x:v>TECHNICAL_FACT</x:v>
      </x:c>
      <x:c r="C14" s="26" t="str">
        <x:v>FAC-000013</x:v>
      </x:c>
      <x:c r="D14" s="26" t="str">
        <x:v>SRC-000012</x:v>
      </x:c>
      <x:c r="E14" s="26" t="str">
        <x:v>engine/dimensions section</x:v>
      </x:c>
      <x:c r="F14" s="26" t="str">
        <x:v>MANUAL</x:v>
      </x:c>
      <x:c r="G14" s="26" t="str">
        <x:v>VERIFIED</x:v>
      </x:c>
      <x:c r="H14" s="26" t="str">
        <x:v>EXACT</x:v>
      </x:c>
      <x:c r="I14" s="36" t="n">
        <x:v>46248</x:v>
      </x:c>
      <x:c r="J14" s="26" t="str">
        <x:v>ChatGPT/web research</x:v>
      </x:c>
      <x:c r="K14" s="26" t="str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AST-000014</x:v>
      </x:c>
      <x:c r="B15" s="26" t="str">
        <x:v>TECHNICAL_FACT</x:v>
      </x:c>
      <x:c r="C15" s="26" t="str">
        <x:v>FAC-000014</x:v>
      </x:c>
      <x:c r="D15" s="26" t="str">
        <x:v>SRC-000012</x:v>
      </x:c>
      <x:c r="E15" s="26" t="str">
        <x:v>engine/dimensions section</x:v>
      </x:c>
      <x:c r="F15" s="26" t="str">
        <x:v>MANUAL</x:v>
      </x:c>
      <x:c r="G15" s="26" t="str">
        <x:v>VERIFIED</x:v>
      </x:c>
      <x:c r="H15" s="26" t="str">
        <x:v>EXACT</x:v>
      </x:c>
      <x:c r="I15" s="36" t="n">
        <x:v>46248</x:v>
      </x:c>
      <x:c r="J15" s="26" t="str">
        <x:v>ChatGPT/web research</x:v>
      </x:c>
      <x:c r="K15" s="26" t="str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AST-000015</x:v>
      </x:c>
      <x:c r="B16" s="26" t="str">
        <x:v>TECHNICAL_FACT</x:v>
      </x:c>
      <x:c r="C16" s="26" t="str">
        <x:v>FAC-000015</x:v>
      </x:c>
      <x:c r="D16" s="26" t="str">
        <x:v>SRC-000012</x:v>
      </x:c>
      <x:c r="E16" s="26" t="str">
        <x:v>engine/dimensions section</x:v>
      </x:c>
      <x:c r="F16" s="26" t="str">
        <x:v>MANUAL</x:v>
      </x:c>
      <x:c r="G16" s="26" t="str">
        <x:v>VERIFIED</x:v>
      </x:c>
      <x:c r="H16" s="26" t="str">
        <x:v>EXACT</x:v>
      </x:c>
      <x:c r="I16" s="36" t="n">
        <x:v>46248</x:v>
      </x:c>
      <x:c r="J16" s="26" t="str">
        <x:v>ChatGPT/web research</x:v>
      </x:c>
      <x:c r="K16" s="26" t="str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AST-000016</x:v>
      </x:c>
      <x:c r="B17" s="26" t="str">
        <x:v>TECHNICAL_FACT</x:v>
      </x:c>
      <x:c r="C17" s="26" t="str">
        <x:v>FAC-000016</x:v>
      </x:c>
      <x:c r="D17" s="26" t="str">
        <x:v>SRC-000012</x:v>
      </x:c>
      <x:c r="E17" s="26" t="str">
        <x:v>engine/dimensions section</x:v>
      </x:c>
      <x:c r="F17" s="26" t="str">
        <x:v>MANUAL</x:v>
      </x:c>
      <x:c r="G17" s="26" t="str">
        <x:v>VERIFIED</x:v>
      </x:c>
      <x:c r="H17" s="26" t="str">
        <x:v>EXACT</x:v>
      </x:c>
      <x:c r="I17" s="36" t="n">
        <x:v>46248</x:v>
      </x:c>
      <x:c r="J17" s="26" t="str">
        <x:v>ChatGPT/web research</x:v>
      </x:c>
      <x:c r="K17" s="26" t="str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AST-000017</x:v>
      </x:c>
      <x:c r="B18" s="26" t="str">
        <x:v>TECHNICAL_FACT</x:v>
      </x:c>
      <x:c r="C18" s="26" t="str">
        <x:v>FAC-000017</x:v>
      </x:c>
      <x:c r="D18" s="26" t="str">
        <x:v>SRC-000012</x:v>
      </x:c>
      <x:c r="E18" s="26" t="str">
        <x:v>engine/dimensions section</x:v>
      </x:c>
      <x:c r="F18" s="26" t="str">
        <x:v>MANUAL</x:v>
      </x:c>
      <x:c r="G18" s="26" t="str">
        <x:v>VERIFIED</x:v>
      </x:c>
      <x:c r="H18" s="26" t="str">
        <x:v>EXACT</x:v>
      </x:c>
      <x:c r="I18" s="36" t="n">
        <x:v>46248</x:v>
      </x:c>
      <x:c r="J18" s="26" t="str">
        <x:v>ChatGPT/web research</x:v>
      </x:c>
      <x:c r="K18" s="26" t="str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AST-000018</x:v>
      </x:c>
      <x:c r="B19" s="26" t="str">
        <x:v>TECHNICAL_FACT</x:v>
      </x:c>
      <x:c r="C19" s="26" t="str">
        <x:v>FAC-000018</x:v>
      </x:c>
      <x:c r="D19" s="26" t="str">
        <x:v>SRC-000012</x:v>
      </x:c>
      <x:c r="E19" s="26" t="str">
        <x:v>engine/dimensions section</x:v>
      </x:c>
      <x:c r="F19" s="26" t="str">
        <x:v>MANUAL</x:v>
      </x:c>
      <x:c r="G19" s="26" t="str">
        <x:v>VERIFIED</x:v>
      </x:c>
      <x:c r="H19" s="26" t="str">
        <x:v>EXACT</x:v>
      </x:c>
      <x:c r="I19" s="36" t="n">
        <x:v>46248</x:v>
      </x:c>
      <x:c r="J19" s="26" t="str">
        <x:v>ChatGPT/web research</x:v>
      </x:c>
      <x:c r="K19" s="26" t="str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AST-000019</x:v>
      </x:c>
      <x:c r="B20" s="26" t="str">
        <x:v>TECHNICAL_FACT</x:v>
      </x:c>
      <x:c r="C20" s="26" t="str">
        <x:v>FAC-000019</x:v>
      </x:c>
      <x:c r="D20" s="26" t="str">
        <x:v>SRC-000012</x:v>
      </x:c>
      <x:c r="E20" s="26" t="str">
        <x:v>engine/dimensions section</x:v>
      </x:c>
      <x:c r="F20" s="26" t="str">
        <x:v>MANUAL</x:v>
      </x:c>
      <x:c r="G20" s="26" t="str">
        <x:v>VERIFIED</x:v>
      </x:c>
      <x:c r="H20" s="26" t="str">
        <x:v>EXACT</x:v>
      </x:c>
      <x:c r="I20" s="36" t="n">
        <x:v>46248</x:v>
      </x:c>
      <x:c r="J20" s="26" t="str">
        <x:v>ChatGPT/web research</x:v>
      </x:c>
      <x:c r="K20" s="26" t="str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AST-000020</x:v>
      </x:c>
      <x:c r="B21" s="26" t="str">
        <x:v>TECHNICAL_FACT</x:v>
      </x:c>
      <x:c r="C21" s="26" t="str">
        <x:v>FAC-000020</x:v>
      </x:c>
      <x:c r="D21" s="26" t="str">
        <x:v>SRC-000013</x:v>
      </x:c>
      <x:c r="E21" s="26" t="str">
        <x:v>technical specifications p.2</x:v>
      </x:c>
      <x:c r="F21" s="26" t="str">
        <x:v>MANUAL</x:v>
      </x:c>
      <x:c r="G21" s="26" t="str">
        <x:v>VERIFIED</x:v>
      </x:c>
      <x:c r="H21" s="26" t="str">
        <x:v>EXACT</x:v>
      </x:c>
      <x:c r="I21" s="36" t="n">
        <x:v>46248</x:v>
      </x:c>
      <x:c r="J21" s="26" t="str">
        <x:v>ChatGPT/web research</x:v>
      </x:c>
      <x:c r="K21" s="26" t="str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AST-000021</x:v>
      </x:c>
      <x:c r="B22" s="26" t="str">
        <x:v>TECHNICAL_FACT</x:v>
      </x:c>
      <x:c r="C22" s="26" t="str">
        <x:v>FAC-000021</x:v>
      </x:c>
      <x:c r="D22" s="26" t="str">
        <x:v>SRC-000013</x:v>
      </x:c>
      <x:c r="E22" s="26" t="str">
        <x:v>technical specifications p.2</x:v>
      </x:c>
      <x:c r="F22" s="26" t="str">
        <x:v>MANUAL</x:v>
      </x:c>
      <x:c r="G22" s="26" t="str">
        <x:v>VERIFIED</x:v>
      </x:c>
      <x:c r="H22" s="26" t="str">
        <x:v>EXACT</x:v>
      </x:c>
      <x:c r="I22" s="36" t="n">
        <x:v>46248</x:v>
      </x:c>
      <x:c r="J22" s="26" t="str">
        <x:v>ChatGPT/web research</x:v>
      </x:c>
      <x:c r="K22" s="26" t="str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AST-000022</x:v>
      </x:c>
      <x:c r="B23" s="26" t="str">
        <x:v>TECHNICAL_FACT</x:v>
      </x:c>
      <x:c r="C23" s="26" t="str">
        <x:v>FAC-000022</x:v>
      </x:c>
      <x:c r="D23" s="26" t="str">
        <x:v>SRC-000013</x:v>
      </x:c>
      <x:c r="E23" s="26" t="str">
        <x:v>technical specifications p.2</x:v>
      </x:c>
      <x:c r="F23" s="26" t="str">
        <x:v>MANUAL</x:v>
      </x:c>
      <x:c r="G23" s="26" t="str">
        <x:v>VERIFIED</x:v>
      </x:c>
      <x:c r="H23" s="26" t="str">
        <x:v>EXACT</x:v>
      </x:c>
      <x:c r="I23" s="36" t="n">
        <x:v>46248</x:v>
      </x:c>
      <x:c r="J23" s="26" t="str">
        <x:v>ChatGPT/web research</x:v>
      </x:c>
      <x:c r="K23" s="26" t="str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AST-000023</x:v>
      </x:c>
      <x:c r="B24" s="26" t="str">
        <x:v>TECHNICAL_FACT</x:v>
      </x:c>
      <x:c r="C24" s="26" t="str">
        <x:v>FAC-000023</x:v>
      </x:c>
      <x:c r="D24" s="26" t="str">
        <x:v>SRC-000013</x:v>
      </x:c>
      <x:c r="E24" s="26" t="str">
        <x:v>technical specifications p.2</x:v>
      </x:c>
      <x:c r="F24" s="26" t="str">
        <x:v>MANUAL</x:v>
      </x:c>
      <x:c r="G24" s="26" t="str">
        <x:v>VERIFIED</x:v>
      </x:c>
      <x:c r="H24" s="26" t="str">
        <x:v>EXACT</x:v>
      </x:c>
      <x:c r="I24" s="36" t="n">
        <x:v>46248</x:v>
      </x:c>
      <x:c r="J24" s="26" t="str">
        <x:v>ChatGPT/web research</x:v>
      </x:c>
      <x:c r="K24" s="26" t="str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AST-000024</x:v>
      </x:c>
      <x:c r="B25" s="26" t="str">
        <x:v>TECHNICAL_FACT</x:v>
      </x:c>
      <x:c r="C25" s="26" t="str">
        <x:v>FAC-000024</x:v>
      </x:c>
      <x:c r="D25" s="26" t="str">
        <x:v>SRC-000013</x:v>
      </x:c>
      <x:c r="E25" s="26" t="str">
        <x:v>technical specifications p.2</x:v>
      </x:c>
      <x:c r="F25" s="26" t="str">
        <x:v>MANUAL</x:v>
      </x:c>
      <x:c r="G25" s="26" t="str">
        <x:v>VERIFIED</x:v>
      </x:c>
      <x:c r="H25" s="26" t="str">
        <x:v>EXACT</x:v>
      </x:c>
      <x:c r="I25" s="36" t="n">
        <x:v>46248</x:v>
      </x:c>
      <x:c r="J25" s="26" t="str">
        <x:v>ChatGPT/web research</x:v>
      </x:c>
      <x:c r="K25" s="26" t="str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AST-000025</x:v>
      </x:c>
      <x:c r="B26" s="26" t="str">
        <x:v>TECHNICAL_FACT</x:v>
      </x:c>
      <x:c r="C26" s="26" t="str">
        <x:v>FAC-000025</x:v>
      </x:c>
      <x:c r="D26" s="26" t="str">
        <x:v>SRC-000013</x:v>
      </x:c>
      <x:c r="E26" s="26" t="str">
        <x:v>technical specifications p.2</x:v>
      </x:c>
      <x:c r="F26" s="26" t="str">
        <x:v>MANUAL</x:v>
      </x:c>
      <x:c r="G26" s="26" t="str">
        <x:v>VERIFIED</x:v>
      </x:c>
      <x:c r="H26" s="26" t="str">
        <x:v>EXACT</x:v>
      </x:c>
      <x:c r="I26" s="36" t="n">
        <x:v>46248</x:v>
      </x:c>
      <x:c r="J26" s="26" t="str">
        <x:v>ChatGPT/web research</x:v>
      </x:c>
      <x:c r="K26" s="26" t="str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AST-000026</x:v>
      </x:c>
      <x:c r="B27" s="26" t="str">
        <x:v>TECHNICAL_FACT</x:v>
      </x:c>
      <x:c r="C27" s="26" t="str">
        <x:v>FAC-000026</x:v>
      </x:c>
      <x:c r="D27" s="26" t="str">
        <x:v>SRC-000013</x:v>
      </x:c>
      <x:c r="E27" s="26" t="str">
        <x:v>technical specifications p.2</x:v>
      </x:c>
      <x:c r="F27" s="26" t="str">
        <x:v>MANUAL</x:v>
      </x:c>
      <x:c r="G27" s="26" t="str">
        <x:v>VERIFIED</x:v>
      </x:c>
      <x:c r="H27" s="26" t="str">
        <x:v>EXACT</x:v>
      </x:c>
      <x:c r="I27" s="36" t="n">
        <x:v>46248</x:v>
      </x:c>
      <x:c r="J27" s="26" t="str">
        <x:v>ChatGPT/web research</x:v>
      </x:c>
      <x:c r="K27" s="26" t="str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AST-000027</x:v>
      </x:c>
      <x:c r="B28" s="26" t="str">
        <x:v>TECHNICAL_FACT</x:v>
      </x:c>
      <x:c r="C28" s="26" t="str">
        <x:v>FAC-000027</x:v>
      </x:c>
      <x:c r="D28" s="26" t="str">
        <x:v>SRC-000013</x:v>
      </x:c>
      <x:c r="E28" s="26" t="str">
        <x:v>technical specifications p.2</x:v>
      </x:c>
      <x:c r="F28" s="26" t="str">
        <x:v>MANUAL</x:v>
      </x:c>
      <x:c r="G28" s="26" t="str">
        <x:v>VERIFIED</x:v>
      </x:c>
      <x:c r="H28" s="26" t="str">
        <x:v>EXACT</x:v>
      </x:c>
      <x:c r="I28" s="36" t="n">
        <x:v>46248</x:v>
      </x:c>
      <x:c r="J28" s="26" t="str">
        <x:v>ChatGPT/web research</x:v>
      </x:c>
      <x:c r="K28" s="26" t="str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AST-000028</x:v>
      </x:c>
      <x:c r="B29" s="26" t="str">
        <x:v>TECHNICAL_FACT</x:v>
      </x:c>
      <x:c r="C29" s="26" t="str">
        <x:v>FAC-000028</x:v>
      </x:c>
      <x:c r="D29" s="26" t="str">
        <x:v>SRC-000013</x:v>
      </x:c>
      <x:c r="E29" s="26" t="str">
        <x:v>technical specifications p.2</x:v>
      </x:c>
      <x:c r="F29" s="26" t="str">
        <x:v>MANUAL</x:v>
      </x:c>
      <x:c r="G29" s="26" t="str">
        <x:v>VERIFIED</x:v>
      </x:c>
      <x:c r="H29" s="26" t="str">
        <x:v>EXACT</x:v>
      </x:c>
      <x:c r="I29" s="36" t="n">
        <x:v>46248</x:v>
      </x:c>
      <x:c r="J29" s="26" t="str">
        <x:v>ChatGPT/web research</x:v>
      </x:c>
      <x:c r="K29" s="26" t="str">
        <x:v>Pilot reveals need for native numeric range representation.</x:v>
      </x:c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AST-000029</x:v>
      </x:c>
      <x:c r="B30" s="26" t="str">
        <x:v>TECHNICAL_FACT</x:v>
      </x:c>
      <x:c r="C30" s="26" t="str">
        <x:v>FAC-000029</x:v>
      </x:c>
      <x:c r="D30" s="26" t="str">
        <x:v>SRC-000004</x:v>
      </x:c>
      <x:c r="E30" s="26" t="str">
        <x:v>technical information table</x:v>
      </x:c>
      <x:c r="F30" s="26" t="str">
        <x:v>MANUAL</x:v>
      </x:c>
      <x:c r="G30" s="26" t="str">
        <x:v>VERIFIED</x:v>
      </x:c>
      <x:c r="H30" s="26" t="str">
        <x:v>EXACT</x:v>
      </x:c>
      <x:c r="I30" s="36" t="n">
        <x:v>46248</x:v>
      </x:c>
      <x:c r="J30" s="26" t="str">
        <x:v>ChatGPT/web research</x:v>
      </x:c>
      <x:c r="K30" s="26" t="str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AST-000030</x:v>
      </x:c>
      <x:c r="B31" s="26" t="str">
        <x:v>TECHNICAL_FACT</x:v>
      </x:c>
      <x:c r="C31" s="26" t="str">
        <x:v>FAC-000030</x:v>
      </x:c>
      <x:c r="D31" s="26" t="str">
        <x:v>SRC-000004</x:v>
      </x:c>
      <x:c r="E31" s="26" t="str">
        <x:v>technical information table</x:v>
      </x:c>
      <x:c r="F31" s="26" t="str">
        <x:v>MANUAL</x:v>
      </x:c>
      <x:c r="G31" s="26" t="str">
        <x:v>VERIFIED</x:v>
      </x:c>
      <x:c r="H31" s="26" t="str">
        <x:v>EXACT</x:v>
      </x:c>
      <x:c r="I31" s="36" t="n">
        <x:v>46248</x:v>
      </x:c>
      <x:c r="J31" s="26" t="str">
        <x:v>ChatGPT/web research</x:v>
      </x:c>
      <x:c r="K31" s="26" t="str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AST-000031</x:v>
      </x:c>
      <x:c r="B32" s="26" t="str">
        <x:v>TECHNICAL_FACT</x:v>
      </x:c>
      <x:c r="C32" s="26" t="str">
        <x:v>FAC-000031</x:v>
      </x:c>
      <x:c r="D32" s="26" t="str">
        <x:v>SRC-000004</x:v>
      </x:c>
      <x:c r="E32" s="26" t="str">
        <x:v>technical information table</x:v>
      </x:c>
      <x:c r="F32" s="26" t="str">
        <x:v>MANUAL</x:v>
      </x:c>
      <x:c r="G32" s="26" t="str">
        <x:v>VERIFIED</x:v>
      </x:c>
      <x:c r="H32" s="26" t="str">
        <x:v>EXACT</x:v>
      </x:c>
      <x:c r="I32" s="36" t="n">
        <x:v>46248</x:v>
      </x:c>
      <x:c r="J32" s="26" t="str">
        <x:v>ChatGPT/web research</x:v>
      </x:c>
      <x:c r="K32" s="26" t="str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AST-000032</x:v>
      </x:c>
      <x:c r="B33" s="26" t="str">
        <x:v>TECHNICAL_FACT</x:v>
      </x:c>
      <x:c r="C33" s="26" t="str">
        <x:v>FAC-000032</x:v>
      </x:c>
      <x:c r="D33" s="26" t="str">
        <x:v>SRC-000004</x:v>
      </x:c>
      <x:c r="E33" s="26" t="str">
        <x:v>technical information table</x:v>
      </x:c>
      <x:c r="F33" s="26" t="str">
        <x:v>MANUAL</x:v>
      </x:c>
      <x:c r="G33" s="26" t="str">
        <x:v>VERIFIED</x:v>
      </x:c>
      <x:c r="H33" s="26" t="str">
        <x:v>EXACT</x:v>
      </x:c>
      <x:c r="I33" s="36" t="n">
        <x:v>46248</x:v>
      </x:c>
      <x:c r="J33" s="26" t="str">
        <x:v>ChatGPT/web research</x:v>
      </x:c>
      <x:c r="K33" s="26" t="str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 t="str">
        <x:v>AST-000033</x:v>
      </x:c>
      <x:c r="B34" s="26" t="str">
        <x:v>TECHNICAL_FACT</x:v>
      </x:c>
      <x:c r="C34" s="26" t="str">
        <x:v>FAC-000033</x:v>
      </x:c>
      <x:c r="D34" s="26" t="str">
        <x:v>SRC-000004</x:v>
      </x:c>
      <x:c r="E34" s="26" t="str">
        <x:v>technical information table</x:v>
      </x:c>
      <x:c r="F34" s="26" t="str">
        <x:v>MANUAL</x:v>
      </x:c>
      <x:c r="G34" s="26" t="str">
        <x:v>VERIFIED</x:v>
      </x:c>
      <x:c r="H34" s="26" t="str">
        <x:v>EXACT</x:v>
      </x:c>
      <x:c r="I34" s="36" t="n">
        <x:v>46248</x:v>
      </x:c>
      <x:c r="J34" s="26" t="str">
        <x:v>ChatGPT/web research</x:v>
      </x:c>
      <x:c r="K34" s="26" t="str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 t="str">
        <x:v>AST-000034</x:v>
      </x:c>
      <x:c r="B35" s="26" t="str">
        <x:v>TECHNICAL_FACT</x:v>
      </x:c>
      <x:c r="C35" s="26" t="str">
        <x:v>FAC-000034</x:v>
      </x:c>
      <x:c r="D35" s="26" t="str">
        <x:v>SRC-000004</x:v>
      </x:c>
      <x:c r="E35" s="26" t="str">
        <x:v>technical information table</x:v>
      </x:c>
      <x:c r="F35" s="26" t="str">
        <x:v>MANUAL</x:v>
      </x:c>
      <x:c r="G35" s="26" t="str">
        <x:v>VERIFIED</x:v>
      </x:c>
      <x:c r="H35" s="26" t="str">
        <x:v>EXACT</x:v>
      </x:c>
      <x:c r="I35" s="36" t="n">
        <x:v>46248</x:v>
      </x:c>
      <x:c r="J35" s="26" t="str">
        <x:v>ChatGPT/web research</x:v>
      </x:c>
      <x:c r="K35" s="26" t="str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 t="str">
        <x:v>AST-000035</x:v>
      </x:c>
      <x:c r="B36" s="26" t="str">
        <x:v>TECHNICAL_FACT</x:v>
      </x:c>
      <x:c r="C36" s="26" t="str">
        <x:v>FAC-000035</x:v>
      </x:c>
      <x:c r="D36" s="26" t="str">
        <x:v>SRC-000004</x:v>
      </x:c>
      <x:c r="E36" s="26" t="str">
        <x:v>technical information table</x:v>
      </x:c>
      <x:c r="F36" s="26" t="str">
        <x:v>MANUAL</x:v>
      </x:c>
      <x:c r="G36" s="26" t="str">
        <x:v>VERIFIED</x:v>
      </x:c>
      <x:c r="H36" s="26" t="str">
        <x:v>EXACT</x:v>
      </x:c>
      <x:c r="I36" s="36" t="n">
        <x:v>46248</x:v>
      </x:c>
      <x:c r="J36" s="26" t="str">
        <x:v>ChatGPT/web research</x:v>
      </x:c>
      <x:c r="K36" s="26" t="str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 t="str">
        <x:v>AST-000036</x:v>
      </x:c>
      <x:c r="B37" s="26" t="str">
        <x:v>TECHNICAL_FACT</x:v>
      </x:c>
      <x:c r="C37" s="26" t="str">
        <x:v>FAC-000036</x:v>
      </x:c>
      <x:c r="D37" s="26" t="str">
        <x:v>SRC-000004</x:v>
      </x:c>
      <x:c r="E37" s="26" t="str">
        <x:v>technical information table</x:v>
      </x:c>
      <x:c r="F37" s="26" t="str">
        <x:v>MANUAL</x:v>
      </x:c>
      <x:c r="G37" s="26" t="str">
        <x:v>VERIFIED</x:v>
      </x:c>
      <x:c r="H37" s="26" t="str">
        <x:v>EXACT</x:v>
      </x:c>
      <x:c r="I37" s="36" t="n">
        <x:v>46248</x:v>
      </x:c>
      <x:c r="J37" s="26" t="str">
        <x:v>ChatGPT/web research</x:v>
      </x:c>
      <x:c r="K37" s="26" t="str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 t="str">
        <x:v>AST-000037</x:v>
      </x:c>
      <x:c r="B38" s="26" t="str">
        <x:v>TECHNICAL_FACT</x:v>
      </x:c>
      <x:c r="C38" s="26" t="str">
        <x:v>FAC-000037</x:v>
      </x:c>
      <x:c r="D38" s="26" t="str">
        <x:v>SRC-000004</x:v>
      </x:c>
      <x:c r="E38" s="26" t="str">
        <x:v>technical information table</x:v>
      </x:c>
      <x:c r="F38" s="26" t="str">
        <x:v>MANUAL</x:v>
      </x:c>
      <x:c r="G38" s="26" t="str">
        <x:v>VERIFIED</x:v>
      </x:c>
      <x:c r="H38" s="26" t="str">
        <x:v>EXACT</x:v>
      </x:c>
      <x:c r="I38" s="36" t="n">
        <x:v>46248</x:v>
      </x:c>
      <x:c r="J38" s="26" t="str">
        <x:v>ChatGPT/web research</x:v>
      </x:c>
      <x:c r="K38" s="26" t="str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 t="str">
        <x:v>AST-000038</x:v>
      </x:c>
      <x:c r="B39" s="26" t="str">
        <x:v>TECHNICAL_FACT</x:v>
      </x:c>
      <x:c r="C39" s="26" t="str">
        <x:v>FAC-000038</x:v>
      </x:c>
      <x:c r="D39" s="26" t="str">
        <x:v>SRC-000004</x:v>
      </x:c>
      <x:c r="E39" s="26" t="str">
        <x:v>technical information table</x:v>
      </x:c>
      <x:c r="F39" s="26" t="str">
        <x:v>MANUAL</x:v>
      </x:c>
      <x:c r="G39" s="26" t="str">
        <x:v>VERIFIED</x:v>
      </x:c>
      <x:c r="H39" s="26" t="str">
        <x:v>EXACT</x:v>
      </x:c>
      <x:c r="I39" s="36" t="n">
        <x:v>46248</x:v>
      </x:c>
      <x:c r="J39" s="26" t="str">
        <x:v>ChatGPT/web research</x:v>
      </x:c>
      <x:c r="K39" s="26" t="str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 t="str">
        <x:v>AST-000039</x:v>
      </x:c>
      <x:c r="B40" s="26" t="str">
        <x:v>TECHNICAL_FACT</x:v>
      </x:c>
      <x:c r="C40" s="26" t="str">
        <x:v>FAC-000039</x:v>
      </x:c>
      <x:c r="D40" s="26" t="str">
        <x:v>SRC-000004</x:v>
      </x:c>
      <x:c r="E40" s="26" t="str">
        <x:v>technical information table</x:v>
      </x:c>
      <x:c r="F40" s="26" t="str">
        <x:v>MANUAL</x:v>
      </x:c>
      <x:c r="G40" s="26" t="str">
        <x:v>VERIFIED</x:v>
      </x:c>
      <x:c r="H40" s="26" t="str">
        <x:v>EXACT</x:v>
      </x:c>
      <x:c r="I40" s="36" t="n">
        <x:v>46248</x:v>
      </x:c>
      <x:c r="J40" s="26" t="str">
        <x:v>ChatGPT/web research</x:v>
      </x:c>
      <x:c r="K40" s="26" t="str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 t="str">
        <x:v>AST-000040</x:v>
      </x:c>
      <x:c r="B41" s="26" t="str">
        <x:v>TECHNICAL_FACT</x:v>
      </x:c>
      <x:c r="C41" s="26" t="str">
        <x:v>FAC-000040</x:v>
      </x:c>
      <x:c r="D41" s="26" t="str">
        <x:v>SRC-000015</x:v>
      </x:c>
      <x:c r="E41" s="26" t="str">
        <x:v>technical data p.4–5</x:v>
      </x:c>
      <x:c r="F41" s="26" t="str">
        <x:v>MANUAL</x:v>
      </x:c>
      <x:c r="G41" s="26" t="str">
        <x:v>VERIFIED</x:v>
      </x:c>
      <x:c r="H41" s="26" t="str">
        <x:v>EXACT</x:v>
      </x:c>
      <x:c r="I41" s="36" t="n">
        <x:v>46248</x:v>
      </x:c>
      <x:c r="J41" s="26" t="str">
        <x:v>ChatGPT/web research</x:v>
      </x:c>
      <x:c r="K41" s="26" t="str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 t="str">
        <x:v>AST-000041</x:v>
      </x:c>
      <x:c r="B42" s="26" t="str">
        <x:v>TECHNICAL_FACT</x:v>
      </x:c>
      <x:c r="C42" s="26" t="str">
        <x:v>FAC-000041</x:v>
      </x:c>
      <x:c r="D42" s="26" t="str">
        <x:v>SRC-000015</x:v>
      </x:c>
      <x:c r="E42" s="26" t="str">
        <x:v>technical data p.4–5</x:v>
      </x:c>
      <x:c r="F42" s="26" t="str">
        <x:v>MANUAL</x:v>
      </x:c>
      <x:c r="G42" s="26" t="str">
        <x:v>VERIFIED</x:v>
      </x:c>
      <x:c r="H42" s="26" t="str">
        <x:v>EXACT</x:v>
      </x:c>
      <x:c r="I42" s="36" t="n">
        <x:v>46248</x:v>
      </x:c>
      <x:c r="J42" s="26" t="str">
        <x:v>ChatGPT/web research</x:v>
      </x:c>
      <x:c r="K42" s="26" t="str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 t="str">
        <x:v>AST-000042</x:v>
      </x:c>
      <x:c r="B43" s="26" t="str">
        <x:v>TECHNICAL_FACT</x:v>
      </x:c>
      <x:c r="C43" s="26" t="str">
        <x:v>FAC-000042</x:v>
      </x:c>
      <x:c r="D43" s="26" t="str">
        <x:v>SRC-000015</x:v>
      </x:c>
      <x:c r="E43" s="26" t="str">
        <x:v>technical data p.4–5</x:v>
      </x:c>
      <x:c r="F43" s="26" t="str">
        <x:v>MANUAL</x:v>
      </x:c>
      <x:c r="G43" s="26" t="str">
        <x:v>VERIFIED</x:v>
      </x:c>
      <x:c r="H43" s="26" t="str">
        <x:v>EXACT</x:v>
      </x:c>
      <x:c r="I43" s="36" t="n">
        <x:v>46248</x:v>
      </x:c>
      <x:c r="J43" s="26" t="str">
        <x:v>ChatGPT/web research</x:v>
      </x:c>
      <x:c r="K43" s="26" t="str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 t="str">
        <x:v>AST-000043</x:v>
      </x:c>
      <x:c r="B44" s="26" t="str">
        <x:v>TECHNICAL_FACT</x:v>
      </x:c>
      <x:c r="C44" s="26" t="str">
        <x:v>FAC-000043</x:v>
      </x:c>
      <x:c r="D44" s="26" t="str">
        <x:v>SRC-000015</x:v>
      </x:c>
      <x:c r="E44" s="26" t="str">
        <x:v>technical data p.4–5</x:v>
      </x:c>
      <x:c r="F44" s="26" t="str">
        <x:v>MANUAL</x:v>
      </x:c>
      <x:c r="G44" s="26" t="str">
        <x:v>VERIFIED</x:v>
      </x:c>
      <x:c r="H44" s="26" t="str">
        <x:v>EXACT</x:v>
      </x:c>
      <x:c r="I44" s="36" t="n">
        <x:v>46248</x:v>
      </x:c>
      <x:c r="J44" s="26" t="str">
        <x:v>ChatGPT/web research</x:v>
      </x:c>
      <x:c r="K44" s="26" t="str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 t="str">
        <x:v>AST-000044</x:v>
      </x:c>
      <x:c r="B45" s="26" t="str">
        <x:v>TECHNICAL_FACT</x:v>
      </x:c>
      <x:c r="C45" s="26" t="str">
        <x:v>FAC-000044</x:v>
      </x:c>
      <x:c r="D45" s="26" t="str">
        <x:v>SRC-000015</x:v>
      </x:c>
      <x:c r="E45" s="26" t="str">
        <x:v>technical data p.4–5</x:v>
      </x:c>
      <x:c r="F45" s="26" t="str">
        <x:v>MANUAL</x:v>
      </x:c>
      <x:c r="G45" s="26" t="str">
        <x:v>VERIFIED</x:v>
      </x:c>
      <x:c r="H45" s="26" t="str">
        <x:v>EXACT</x:v>
      </x:c>
      <x:c r="I45" s="36" t="n">
        <x:v>46248</x:v>
      </x:c>
      <x:c r="J45" s="26" t="str">
        <x:v>ChatGPT/web research</x:v>
      </x:c>
      <x:c r="K45" s="26" t="str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 t="str">
        <x:v>AST-000045</x:v>
      </x:c>
      <x:c r="B46" s="26" t="str">
        <x:v>TECHNICAL_FACT</x:v>
      </x:c>
      <x:c r="C46" s="26" t="str">
        <x:v>FAC-000045</x:v>
      </x:c>
      <x:c r="D46" s="26" t="str">
        <x:v>SRC-000015</x:v>
      </x:c>
      <x:c r="E46" s="26" t="str">
        <x:v>technical data p.4–5</x:v>
      </x:c>
      <x:c r="F46" s="26" t="str">
        <x:v>MANUAL</x:v>
      </x:c>
      <x:c r="G46" s="26" t="str">
        <x:v>VERIFIED</x:v>
      </x:c>
      <x:c r="H46" s="26" t="str">
        <x:v>EXACT</x:v>
      </x:c>
      <x:c r="I46" s="36" t="n">
        <x:v>46248</x:v>
      </x:c>
      <x:c r="J46" s="26" t="str">
        <x:v>ChatGPT/web research</x:v>
      </x:c>
      <x:c r="K46" s="26" t="str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 t="str">
        <x:v>AST-000046</x:v>
      </x:c>
      <x:c r="B47" s="26" t="str">
        <x:v>TECHNICAL_FACT</x:v>
      </x:c>
      <x:c r="C47" s="26" t="str">
        <x:v>FAC-000046</x:v>
      </x:c>
      <x:c r="D47" s="26" t="str">
        <x:v>SRC-000015</x:v>
      </x:c>
      <x:c r="E47" s="26" t="str">
        <x:v>technical data p.4–5</x:v>
      </x:c>
      <x:c r="F47" s="26" t="str">
        <x:v>MANUAL</x:v>
      </x:c>
      <x:c r="G47" s="26" t="str">
        <x:v>VERIFIED</x:v>
      </x:c>
      <x:c r="H47" s="26" t="str">
        <x:v>EXACT</x:v>
      </x:c>
      <x:c r="I47" s="36" t="n">
        <x:v>46248</x:v>
      </x:c>
      <x:c r="J47" s="26" t="str">
        <x:v>ChatGPT/web research</x:v>
      </x:c>
      <x:c r="K47" s="26" t="str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 t="str">
        <x:v>AST-000047</x:v>
      </x:c>
      <x:c r="B48" s="26" t="str">
        <x:v>TECHNICAL_FACT</x:v>
      </x:c>
      <x:c r="C48" s="26" t="str">
        <x:v>FAC-000047</x:v>
      </x:c>
      <x:c r="D48" s="26" t="str">
        <x:v>SRC-000015</x:v>
      </x:c>
      <x:c r="E48" s="26" t="str">
        <x:v>technical data p.4–5</x:v>
      </x:c>
      <x:c r="F48" s="26" t="str">
        <x:v>MANUAL</x:v>
      </x:c>
      <x:c r="G48" s="26" t="str">
        <x:v>VERIFIED</x:v>
      </x:c>
      <x:c r="H48" s="26" t="str">
        <x:v>EXACT</x:v>
      </x:c>
      <x:c r="I48" s="36" t="n">
        <x:v>46248</x:v>
      </x:c>
      <x:c r="J48" s="26" t="str">
        <x:v>ChatGPT/web research</x:v>
      </x:c>
      <x:c r="K48" s="26" t="str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 t="str">
        <x:v>AST-000048</x:v>
      </x:c>
      <x:c r="B49" s="26" t="str">
        <x:v>TECHNICAL_FACT</x:v>
      </x:c>
      <x:c r="C49" s="26" t="str">
        <x:v>FAC-000048</x:v>
      </x:c>
      <x:c r="D49" s="26" t="str">
        <x:v>SRC-000015</x:v>
      </x:c>
      <x:c r="E49" s="26" t="str">
        <x:v>technical data p.4–5</x:v>
      </x:c>
      <x:c r="F49" s="26" t="str">
        <x:v>MANUAL</x:v>
      </x:c>
      <x:c r="G49" s="26" t="str">
        <x:v>VERIFIED</x:v>
      </x:c>
      <x:c r="H49" s="26" t="str">
        <x:v>EXACT</x:v>
      </x:c>
      <x:c r="I49" s="36" t="n">
        <x:v>46248</x:v>
      </x:c>
      <x:c r="J49" s="26" t="str">
        <x:v>ChatGPT/web research</x:v>
      </x:c>
      <x:c r="K49" s="26" t="str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 t="str">
        <x:v>AST-000049</x:v>
      </x:c>
      <x:c r="B50" s="26" t="str">
        <x:v>TECHNICAL_FACT</x:v>
      </x:c>
      <x:c r="C50" s="26" t="str">
        <x:v>FAC-000049</x:v>
      </x:c>
      <x:c r="D50" s="26" t="str">
        <x:v>SRC-000015</x:v>
      </x:c>
      <x:c r="E50" s="26" t="str">
        <x:v>technical data p.4–5</x:v>
      </x:c>
      <x:c r="F50" s="26" t="str">
        <x:v>MANUAL</x:v>
      </x:c>
      <x:c r="G50" s="26" t="str">
        <x:v>VERIFIED</x:v>
      </x:c>
      <x:c r="H50" s="26" t="str">
        <x:v>EXACT</x:v>
      </x:c>
      <x:c r="I50" s="36" t="n">
        <x:v>46248</x:v>
      </x:c>
      <x:c r="J50" s="26" t="str">
        <x:v>ChatGPT/web research</x:v>
      </x:c>
      <x:c r="K50" s="26" t="str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 t="str">
        <x:v>AST-000050</x:v>
      </x:c>
      <x:c r="B51" s="26" t="str">
        <x:v>TECHNICAL_FACT</x:v>
      </x:c>
      <x:c r="C51" s="26" t="str">
        <x:v>FAC-000050</x:v>
      </x:c>
      <x:c r="D51" s="26" t="str">
        <x:v>SRC-000015</x:v>
      </x:c>
      <x:c r="E51" s="26" t="str">
        <x:v>technical data p.4–5</x:v>
      </x:c>
      <x:c r="F51" s="26" t="str">
        <x:v>MANUAL</x:v>
      </x:c>
      <x:c r="G51" s="26" t="str">
        <x:v>VERIFIED</x:v>
      </x:c>
      <x:c r="H51" s="26" t="str">
        <x:v>EXACT</x:v>
      </x:c>
      <x:c r="I51" s="36" t="n">
        <x:v>46248</x:v>
      </x:c>
      <x:c r="J51" s="26" t="str">
        <x:v>ChatGPT/web research</x:v>
      </x:c>
      <x:c r="K51" s="26" t="str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 t="str">
        <x:v>AST-000051</x:v>
      </x:c>
      <x:c r="B52" s="26" t="str">
        <x:v>TECHNICAL_FACT</x:v>
      </x:c>
      <x:c r="C52" s="26" t="str">
        <x:v>FAC-000051</x:v>
      </x:c>
      <x:c r="D52" s="26" t="str">
        <x:v>SRC-000015</x:v>
      </x:c>
      <x:c r="E52" s="26" t="str">
        <x:v>technical data p.4–5</x:v>
      </x:c>
      <x:c r="F52" s="26" t="str">
        <x:v>MANUAL</x:v>
      </x:c>
      <x:c r="G52" s="26" t="str">
        <x:v>VERIFIED</x:v>
      </x:c>
      <x:c r="H52" s="26" t="str">
        <x:v>EXACT</x:v>
      </x:c>
      <x:c r="I52" s="36" t="n">
        <x:v>46248</x:v>
      </x:c>
      <x:c r="J52" s="26" t="str">
        <x:v>ChatGPT/web research</x:v>
      </x:c>
      <x:c r="K52" s="26" t="str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 t="str">
        <x:v>AST-000052</x:v>
      </x:c>
      <x:c r="B53" s="26" t="str">
        <x:v>TECHNICAL_FACT</x:v>
      </x:c>
      <x:c r="C53" s="26" t="str">
        <x:v>FAC-000052</x:v>
      </x:c>
      <x:c r="D53" s="26" t="str">
        <x:v>SRC-000015</x:v>
      </x:c>
      <x:c r="E53" s="26" t="str">
        <x:v>technical data p.4–5</x:v>
      </x:c>
      <x:c r="F53" s="26" t="str">
        <x:v>MANUAL</x:v>
      </x:c>
      <x:c r="G53" s="26" t="str">
        <x:v>VERIFIED</x:v>
      </x:c>
      <x:c r="H53" s="26" t="str">
        <x:v>EXACT</x:v>
      </x:c>
      <x:c r="I53" s="36" t="n">
        <x:v>46248</x:v>
      </x:c>
      <x:c r="J53" s="26" t="str">
        <x:v>ChatGPT/web research</x:v>
      </x:c>
      <x:c r="K53" s="26" t="str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 t="str">
        <x:v>AST-000053</x:v>
      </x:c>
      <x:c r="B54" s="26" t="str">
        <x:v>TECHNICAL_FACT</x:v>
      </x:c>
      <x:c r="C54" s="26" t="str">
        <x:v>FAC-000053</x:v>
      </x:c>
      <x:c r="D54" s="26" t="str">
        <x:v>SRC-000015</x:v>
      </x:c>
      <x:c r="E54" s="26" t="str">
        <x:v>technical data p.4–5</x:v>
      </x:c>
      <x:c r="F54" s="26" t="str">
        <x:v>MANUAL</x:v>
      </x:c>
      <x:c r="G54" s="26" t="str">
        <x:v>VERIFIED</x:v>
      </x:c>
      <x:c r="H54" s="26" t="str">
        <x:v>EXACT</x:v>
      </x:c>
      <x:c r="I54" s="36" t="n">
        <x:v>46248</x:v>
      </x:c>
      <x:c r="J54" s="26" t="str">
        <x:v>ChatGPT/web research</x:v>
      </x:c>
      <x:c r="K54" s="26" t="str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 t="str">
        <x:v>AST-000054</x:v>
      </x:c>
      <x:c r="B55" s="26" t="str">
        <x:v>TECHNICAL_FACT</x:v>
      </x:c>
      <x:c r="C55" s="26" t="str">
        <x:v>FAC-000054</x:v>
      </x:c>
      <x:c r="D55" s="26" t="str">
        <x:v>SRC-000015</x:v>
      </x:c>
      <x:c r="E55" s="26" t="str">
        <x:v>technical data p.4</x:v>
      </x:c>
      <x:c r="F55" s="26" t="str">
        <x:v>MANUAL</x:v>
      </x:c>
      <x:c r="G55" s="26" t="str">
        <x:v>VERIFIED</x:v>
      </x:c>
      <x:c r="H55" s="26" t="str">
        <x:v>EXACT</x:v>
      </x:c>
      <x:c r="I55" s="36" t="n">
        <x:v>46248</x:v>
      </x:c>
      <x:c r="J55" s="26" t="str">
        <x:v>ChatGPT/web research</x:v>
      </x:c>
      <x:c r="K55" s="26" t="str">
        <x:v>Do not map to usable/gross without explicit semantics.</x:v>
      </x:c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 t="str">
        <x:v>AST-000055</x:v>
      </x:c>
      <x:c r="B56" s="26" t="str">
        <x:v>TECHNICAL_FACT</x:v>
      </x:c>
      <x:c r="C56" s="26" t="str">
        <x:v>FAC-000055</x:v>
      </x:c>
      <x:c r="D56" s="26" t="str">
        <x:v>SRC-000015</x:v>
      </x:c>
      <x:c r="E56" s="26" t="str">
        <x:v>technical data p.4</x:v>
      </x:c>
      <x:c r="F56" s="26" t="str">
        <x:v>MANUAL</x:v>
      </x:c>
      <x:c r="G56" s="26" t="str">
        <x:v>VERIFIED</x:v>
      </x:c>
      <x:c r="H56" s="26" t="str">
        <x:v>EXACT</x:v>
      </x:c>
      <x:c r="I56" s="36" t="n">
        <x:v>46248</x:v>
      </x:c>
      <x:c r="J56" s="26" t="str">
        <x:v>ChatGPT/web research</x:v>
      </x:c>
      <x:c r="K56" s="26" t="str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 t="str">
        <x:v>AST-000056</x:v>
      </x:c>
      <x:c r="B57" s="26" t="str">
        <x:v>TECHNICAL_FACT</x:v>
      </x:c>
      <x:c r="C57" s="26" t="str">
        <x:v>FAC-000056</x:v>
      </x:c>
      <x:c r="D57" s="26" t="str">
        <x:v>SRC-000017</x:v>
      </x:c>
      <x:c r="E57" s="26" t="str">
        <x:v>EV3 technical table</x:v>
      </x:c>
      <x:c r="F57" s="26" t="str">
        <x:v>MANUAL</x:v>
      </x:c>
      <x:c r="G57" s="26" t="str">
        <x:v>VERIFIED</x:v>
      </x:c>
      <x:c r="H57" s="26" t="str">
        <x:v>EXACT</x:v>
      </x:c>
      <x:c r="I57" s="36" t="n">
        <x:v>46248</x:v>
      </x:c>
      <x:c r="J57" s="26" t="str">
        <x:v>ChatGPT/web research</x:v>
      </x:c>
      <x:c r="K57" s="26" t="str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 t="str">
        <x:v>AST-000057</x:v>
      </x:c>
      <x:c r="B58" s="26" t="str">
        <x:v>TECHNICAL_FACT</x:v>
      </x:c>
      <x:c r="C58" s="26" t="str">
        <x:v>FAC-000057</x:v>
      </x:c>
      <x:c r="D58" s="26" t="str">
        <x:v>SRC-000017</x:v>
      </x:c>
      <x:c r="E58" s="26" t="str">
        <x:v>EV3 technical table</x:v>
      </x:c>
      <x:c r="F58" s="26" t="str">
        <x:v>MANUAL</x:v>
      </x:c>
      <x:c r="G58" s="26" t="str">
        <x:v>VERIFIED</x:v>
      </x:c>
      <x:c r="H58" s="26" t="str">
        <x:v>EXACT</x:v>
      </x:c>
      <x:c r="I58" s="36" t="n">
        <x:v>46248</x:v>
      </x:c>
      <x:c r="J58" s="26" t="str">
        <x:v>ChatGPT/web research</x:v>
      </x:c>
      <x:c r="K58" s="26" t="str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 t="str">
        <x:v>AST-000058</x:v>
      </x:c>
      <x:c r="B59" s="26" t="str">
        <x:v>TECHNICAL_FACT</x:v>
      </x:c>
      <x:c r="C59" s="26" t="str">
        <x:v>FAC-000058</x:v>
      </x:c>
      <x:c r="D59" s="26" t="str">
        <x:v>SRC-000017</x:v>
      </x:c>
      <x:c r="E59" s="26" t="str">
        <x:v>EV3 technical table</x:v>
      </x:c>
      <x:c r="F59" s="26" t="str">
        <x:v>MANUAL</x:v>
      </x:c>
      <x:c r="G59" s="26" t="str">
        <x:v>VERIFIED</x:v>
      </x:c>
      <x:c r="H59" s="26" t="str">
        <x:v>EXACT</x:v>
      </x:c>
      <x:c r="I59" s="36" t="n">
        <x:v>46248</x:v>
      </x:c>
      <x:c r="J59" s="26" t="str">
        <x:v>ChatGPT/web research</x:v>
      </x:c>
      <x:c r="K59" s="26" t="str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 t="str">
        <x:v>AST-000059</x:v>
      </x:c>
      <x:c r="B60" s="26" t="str">
        <x:v>TECHNICAL_FACT</x:v>
      </x:c>
      <x:c r="C60" s="26" t="str">
        <x:v>FAC-000059</x:v>
      </x:c>
      <x:c r="D60" s="26" t="str">
        <x:v>SRC-000017</x:v>
      </x:c>
      <x:c r="E60" s="26" t="str">
        <x:v>EV3 technical table</x:v>
      </x:c>
      <x:c r="F60" s="26" t="str">
        <x:v>MANUAL</x:v>
      </x:c>
      <x:c r="G60" s="26" t="str">
        <x:v>VERIFIED</x:v>
      </x:c>
      <x:c r="H60" s="26" t="str">
        <x:v>EXACT</x:v>
      </x:c>
      <x:c r="I60" s="36" t="n">
        <x:v>46248</x:v>
      </x:c>
      <x:c r="J60" s="26" t="str">
        <x:v>ChatGPT/web research</x:v>
      </x:c>
      <x:c r="K60" s="26" t="str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 t="str">
        <x:v>AST-000060</x:v>
      </x:c>
      <x:c r="B61" s="26" t="str">
        <x:v>TECHNICAL_FACT</x:v>
      </x:c>
      <x:c r="C61" s="26" t="str">
        <x:v>FAC-000060</x:v>
      </x:c>
      <x:c r="D61" s="26" t="str">
        <x:v>SRC-000017</x:v>
      </x:c>
      <x:c r="E61" s="26" t="str">
        <x:v>EV3 technical table</x:v>
      </x:c>
      <x:c r="F61" s="26" t="str">
        <x:v>MANUAL</x:v>
      </x:c>
      <x:c r="G61" s="26" t="str">
        <x:v>VERIFIED</x:v>
      </x:c>
      <x:c r="H61" s="26" t="str">
        <x:v>EXACT</x:v>
      </x:c>
      <x:c r="I61" s="36" t="n">
        <x:v>46248</x:v>
      </x:c>
      <x:c r="J61" s="26" t="str">
        <x:v>ChatGPT/web research</x:v>
      </x:c>
      <x:c r="K61" s="26" t="str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 t="str">
        <x:v>AST-000061</x:v>
      </x:c>
      <x:c r="B62" s="26" t="str">
        <x:v>TECHNICAL_FACT</x:v>
      </x:c>
      <x:c r="C62" s="26" t="str">
        <x:v>FAC-000061</x:v>
      </x:c>
      <x:c r="D62" s="26" t="str">
        <x:v>SRC-000017</x:v>
      </x:c>
      <x:c r="E62" s="26" t="str">
        <x:v>EV3 technical table</x:v>
      </x:c>
      <x:c r="F62" s="26" t="str">
        <x:v>MANUAL</x:v>
      </x:c>
      <x:c r="G62" s="26" t="str">
        <x:v>VERIFIED</x:v>
      </x:c>
      <x:c r="H62" s="26" t="str">
        <x:v>EXACT</x:v>
      </x:c>
      <x:c r="I62" s="36" t="n">
        <x:v>46248</x:v>
      </x:c>
      <x:c r="J62" s="26" t="str">
        <x:v>ChatGPT/web research</x:v>
      </x:c>
      <x:c r="K62" s="26" t="str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 t="str">
        <x:v>AST-000062</x:v>
      </x:c>
      <x:c r="B63" s="26" t="str">
        <x:v>TECHNICAL_FACT</x:v>
      </x:c>
      <x:c r="C63" s="26" t="str">
        <x:v>FAC-000062</x:v>
      </x:c>
      <x:c r="D63" s="26" t="str">
        <x:v>SRC-000017</x:v>
      </x:c>
      <x:c r="E63" s="26" t="str">
        <x:v>EV3 technical table</x:v>
      </x:c>
      <x:c r="F63" s="26" t="str">
        <x:v>MANUAL</x:v>
      </x:c>
      <x:c r="G63" s="26" t="str">
        <x:v>VERIFIED</x:v>
      </x:c>
      <x:c r="H63" s="26" t="str">
        <x:v>EXACT</x:v>
      </x:c>
      <x:c r="I63" s="36" t="n">
        <x:v>46248</x:v>
      </x:c>
      <x:c r="J63" s="26" t="str">
        <x:v>ChatGPT/web research</x:v>
      </x:c>
      <x:c r="K63" s="26" t="str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 t="str">
        <x:v>AST-000063</x:v>
      </x:c>
      <x:c r="B64" s="26" t="str">
        <x:v>TECHNICAL_FACT</x:v>
      </x:c>
      <x:c r="C64" s="26" t="str">
        <x:v>FAC-000063</x:v>
      </x:c>
      <x:c r="D64" s="26" t="str">
        <x:v>SRC-000017</x:v>
      </x:c>
      <x:c r="E64" s="26" t="str">
        <x:v>EV3 technical table</x:v>
      </x:c>
      <x:c r="F64" s="26" t="str">
        <x:v>MANUAL</x:v>
      </x:c>
      <x:c r="G64" s="26" t="str">
        <x:v>VERIFIED</x:v>
      </x:c>
      <x:c r="H64" s="26" t="str">
        <x:v>EXACT</x:v>
      </x:c>
      <x:c r="I64" s="36" t="n">
        <x:v>46248</x:v>
      </x:c>
      <x:c r="J64" s="26" t="str">
        <x:v>ChatGPT/web research</x:v>
      </x:c>
      <x:c r="K64" s="26" t="str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 t="str">
        <x:v>AST-000064</x:v>
      </x:c>
      <x:c r="B65" s="26" t="str">
        <x:v>TECHNICAL_FACT</x:v>
      </x:c>
      <x:c r="C65" s="26" t="str">
        <x:v>FAC-000064</x:v>
      </x:c>
      <x:c r="D65" s="26" t="str">
        <x:v>SRC-000017</x:v>
      </x:c>
      <x:c r="E65" s="26" t="str">
        <x:v>EV3 technical table</x:v>
      </x:c>
      <x:c r="F65" s="26" t="str">
        <x:v>MANUAL</x:v>
      </x:c>
      <x:c r="G65" s="26" t="str">
        <x:v>VERIFIED</x:v>
      </x:c>
      <x:c r="H65" s="26" t="str">
        <x:v>EXACT</x:v>
      </x:c>
      <x:c r="I65" s="36" t="n">
        <x:v>46248</x:v>
      </x:c>
      <x:c r="J65" s="26" t="str">
        <x:v>ChatGPT/web research</x:v>
      </x:c>
      <x:c r="K65" s="26" t="str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 t="str">
        <x:v>AST-000065</x:v>
      </x:c>
      <x:c r="B66" s="26" t="str">
        <x:v>TECHNICAL_FACT</x:v>
      </x:c>
      <x:c r="C66" s="26" t="str">
        <x:v>FAC-000065</x:v>
      </x:c>
      <x:c r="D66" s="26" t="str">
        <x:v>SRC-000017</x:v>
      </x:c>
      <x:c r="E66" s="26" t="str">
        <x:v>EV3 technical table</x:v>
      </x:c>
      <x:c r="F66" s="26" t="str">
        <x:v>MANUAL</x:v>
      </x:c>
      <x:c r="G66" s="26" t="str">
        <x:v>VERIFIED</x:v>
      </x:c>
      <x:c r="H66" s="26" t="str">
        <x:v>EXACT</x:v>
      </x:c>
      <x:c r="I66" s="36" t="n">
        <x:v>46248</x:v>
      </x:c>
      <x:c r="J66" s="26" t="str">
        <x:v>ChatGPT/web research</x:v>
      </x:c>
      <x:c r="K66" s="26" t="str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 t="str">
        <x:v>AST-000066</x:v>
      </x:c>
      <x:c r="B67" s="26" t="str">
        <x:v>TECHNICAL_FACT</x:v>
      </x:c>
      <x:c r="C67" s="26" t="str">
        <x:v>FAC-000066</x:v>
      </x:c>
      <x:c r="D67" s="26" t="str">
        <x:v>SRC-000017</x:v>
      </x:c>
      <x:c r="E67" s="26" t="str">
        <x:v>EV3 technical table</x:v>
      </x:c>
      <x:c r="F67" s="26" t="str">
        <x:v>MANUAL</x:v>
      </x:c>
      <x:c r="G67" s="26" t="str">
        <x:v>VERIFIED</x:v>
      </x:c>
      <x:c r="H67" s="26" t="str">
        <x:v>EXACT</x:v>
      </x:c>
      <x:c r="I67" s="36" t="n">
        <x:v>46248</x:v>
      </x:c>
      <x:c r="J67" s="26" t="str">
        <x:v>ChatGPT/web research</x:v>
      </x:c>
      <x:c r="K67" s="26" t="str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 t="str">
        <x:v>AST-000067</x:v>
      </x:c>
      <x:c r="B68" s="26" t="str">
        <x:v>TECHNICAL_FACT</x:v>
      </x:c>
      <x:c r="C68" s="26" t="str">
        <x:v>FAC-000067</x:v>
      </x:c>
      <x:c r="D68" s="26" t="str">
        <x:v>SRC-000017</x:v>
      </x:c>
      <x:c r="E68" s="26" t="str">
        <x:v>EV3 technical table</x:v>
      </x:c>
      <x:c r="F68" s="26" t="str">
        <x:v>MANUAL</x:v>
      </x:c>
      <x:c r="G68" s="26" t="str">
        <x:v>VERIFIED</x:v>
      </x:c>
      <x:c r="H68" s="26" t="str">
        <x:v>EXACT</x:v>
      </x:c>
      <x:c r="I68" s="36" t="n">
        <x:v>46248</x:v>
      </x:c>
      <x:c r="J68" s="26" t="str">
        <x:v>ChatGPT/web research</x:v>
      </x:c>
      <x:c r="K68" s="26" t="str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 t="str">
        <x:v>AST-000068</x:v>
      </x:c>
      <x:c r="B69" s="26" t="str">
        <x:v>TECHNICAL_FACT</x:v>
      </x:c>
      <x:c r="C69" s="26" t="str">
        <x:v>FAC-000068</x:v>
      </x:c>
      <x:c r="D69" s="26" t="str">
        <x:v>SRC-000017</x:v>
      </x:c>
      <x:c r="E69" s="26" t="str">
        <x:v>EV3 technical table</x:v>
      </x:c>
      <x:c r="F69" s="26" t="str">
        <x:v>MANUAL</x:v>
      </x:c>
      <x:c r="G69" s="26" t="str">
        <x:v>VERIFIED</x:v>
      </x:c>
      <x:c r="H69" s="26" t="str">
        <x:v>EXACT</x:v>
      </x:c>
      <x:c r="I69" s="36" t="n">
        <x:v>46248</x:v>
      </x:c>
      <x:c r="J69" s="26" t="str">
        <x:v>ChatGPT/web research</x:v>
      </x:c>
      <x:c r="K69" s="26" t="str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 t="str">
        <x:v>AST-000069</x:v>
      </x:c>
      <x:c r="B70" s="26" t="str">
        <x:v>TECHNICAL_FACT</x:v>
      </x:c>
      <x:c r="C70" s="26" t="str">
        <x:v>FAC-000069</x:v>
      </x:c>
      <x:c r="D70" s="26" t="str">
        <x:v>SRC-000017</x:v>
      </x:c>
      <x:c r="E70" s="26" t="str">
        <x:v>battery/charging table</x:v>
      </x:c>
      <x:c r="F70" s="26" t="str">
        <x:v>MANUAL</x:v>
      </x:c>
      <x:c r="G70" s="26" t="str">
        <x:v>VERIFIED</x:v>
      </x:c>
      <x:c r="H70" s="26" t="str">
        <x:v>EXACT</x:v>
      </x:c>
      <x:c r="I70" s="36" t="n">
        <x:v>46248</x:v>
      </x:c>
      <x:c r="J70" s="26" t="str">
        <x:v>ChatGPT/web research</x:v>
      </x:c>
      <x:c r="K70" s="26" t="str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 t="str">
        <x:v>AST-000070</x:v>
      </x:c>
      <x:c r="B71" s="26" t="str">
        <x:v>TECHNICAL_FACT</x:v>
      </x:c>
      <x:c r="C71" s="26" t="str">
        <x:v>FAC-000070</x:v>
      </x:c>
      <x:c r="D71" s="26" t="str">
        <x:v>SRC-000017</x:v>
      </x:c>
      <x:c r="E71" s="26" t="str">
        <x:v>battery/charging table</x:v>
      </x:c>
      <x:c r="F71" s="26" t="str">
        <x:v>MANUAL</x:v>
      </x:c>
      <x:c r="G71" s="26" t="str">
        <x:v>VERIFIED</x:v>
      </x:c>
      <x:c r="H71" s="26" t="str">
        <x:v>EXACT</x:v>
      </x:c>
      <x:c r="I71" s="36" t="n">
        <x:v>46248</x:v>
      </x:c>
      <x:c r="J71" s="26" t="str">
        <x:v>ChatGPT/web research</x:v>
      </x:c>
      <x:c r="K71" s="26" t="str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 t="str">
        <x:v>AST-000071</x:v>
      </x:c>
      <x:c r="B72" s="26" t="str">
        <x:v>TECHNICAL_FACT</x:v>
      </x:c>
      <x:c r="C72" s="26" t="str">
        <x:v>FAC-000071</x:v>
      </x:c>
      <x:c r="D72" s="26" t="str">
        <x:v>SRC-000019</x:v>
      </x:c>
      <x:c r="E72" s="26" t="str">
        <x:v>technical specifications</x:v>
      </x:c>
      <x:c r="F72" s="26" t="str">
        <x:v>MANUAL</x:v>
      </x:c>
      <x:c r="G72" s="26" t="str">
        <x:v>UNVERIFIED</x:v>
      </x:c>
      <x:c r="H72" s="26" t="str">
        <x:v>PARTIAL</x:v>
      </x:c>
      <x:c r="I72" s="36" t="str"/>
      <x:c r="J72" s="26" t="str">
        <x:v>ChatGPT/web research</x:v>
      </x:c>
      <x:c r="K72" s="26" t="str">
        <x:v>Exact CFG mapping pending.</x:v>
      </x:c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 t="str">
        <x:v>AST-000072</x:v>
      </x:c>
      <x:c r="B73" s="26" t="str">
        <x:v>TECHNICAL_FACT</x:v>
      </x:c>
      <x:c r="C73" s="26" t="str">
        <x:v>FAC-000072</x:v>
      </x:c>
      <x:c r="D73" s="26" t="str">
        <x:v>SRC-000008</x:v>
      </x:c>
      <x:c r="E73" s="26" t="str">
        <x:v>product highlights</x:v>
      </x:c>
      <x:c r="F73" s="26" t="str">
        <x:v>MANUAL</x:v>
      </x:c>
      <x:c r="G73" s="26" t="str">
        <x:v>UNVERIFIED</x:v>
      </x:c>
      <x:c r="H73" s="26" t="str">
        <x:v>PARTIAL</x:v>
      </x:c>
      <x:c r="I73" s="36" t="str"/>
      <x:c r="J73" s="26" t="str">
        <x:v>ChatGPT/web research</x:v>
      </x:c>
      <x:c r="K73" s="26" t="str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 t="str">
        <x:v>AST-000073</x:v>
      </x:c>
      <x:c r="B74" s="26" t="str">
        <x:v>TECHNICAL_FACT</x:v>
      </x:c>
      <x:c r="C74" s="26" t="str">
        <x:v>FAC-000073</x:v>
      </x:c>
      <x:c r="D74" s="26" t="str">
        <x:v>SRC-000019</x:v>
      </x:c>
      <x:c r="E74" s="26" t="str">
        <x:v>technical specifications</x:v>
      </x:c>
      <x:c r="F74" s="26" t="str">
        <x:v>MANUAL</x:v>
      </x:c>
      <x:c r="G74" s="26" t="str">
        <x:v>UNVERIFIED</x:v>
      </x:c>
      <x:c r="H74" s="26" t="str">
        <x:v>PARTIAL</x:v>
      </x:c>
      <x:c r="I74" s="36" t="str"/>
      <x:c r="J74" s="26" t="str">
        <x:v>ChatGPT/web research</x:v>
      </x:c>
      <x:c r="K74" s="26" t="str">
        <x:v>Do not merge with 523 km until identity is resolved.</x:v>
      </x:c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 t="str">
        <x:v>AST-000074</x:v>
      </x:c>
      <x:c r="B75" s="26" t="str">
        <x:v>TECHNICAL_FACT</x:v>
      </x:c>
      <x:c r="C75" s="26" t="str">
        <x:v>FAC-000074</x:v>
      </x:c>
      <x:c r="D75" s="26" t="str">
        <x:v>SRC-000019</x:v>
      </x:c>
      <x:c r="E75" s="26" t="str">
        <x:v>technical specifications</x:v>
      </x:c>
      <x:c r="F75" s="26" t="str">
        <x:v>MANUAL</x:v>
      </x:c>
      <x:c r="G75" s="26" t="str">
        <x:v>UNVERIFIED</x:v>
      </x:c>
      <x:c r="H75" s="26" t="str">
        <x:v>PARTIAL</x:v>
      </x:c>
      <x:c r="I75" s="36" t="str"/>
      <x:c r="J75" s="26" t="str">
        <x:v>ChatGPT/web research</x:v>
      </x:c>
      <x:c r="K75" s="26" t="str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 t="str">
        <x:v>AST-000075</x:v>
      </x:c>
      <x:c r="B76" s="26" t="str">
        <x:v>TECHNICAL_FACT</x:v>
      </x:c>
      <x:c r="C76" s="26" t="str">
        <x:v>FAC-000075</x:v>
      </x:c>
      <x:c r="D76" s="26" t="str">
        <x:v>SRC-000008</x:v>
      </x:c>
      <x:c r="E76" s="26" t="str">
        <x:v>product highlights</x:v>
      </x:c>
      <x:c r="F76" s="26" t="str">
        <x:v>MANUAL</x:v>
      </x:c>
      <x:c r="G76" s="26" t="str">
        <x:v>UNVERIFIED</x:v>
      </x:c>
      <x:c r="H76" s="26" t="str">
        <x:v>PARTIAL</x:v>
      </x:c>
      <x:c r="I76" s="36" t="str"/>
      <x:c r="J76" s="26" t="str">
        <x:v>ChatGPT/web research</x:v>
      </x:c>
      <x:c r="K76" s="26" t="str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 t="str">
        <x:v>AST-000076</x:v>
      </x:c>
      <x:c r="B77" s="26" t="str">
        <x:v>TECHNICAL_FACT</x:v>
      </x:c>
      <x:c r="C77" s="26" t="str">
        <x:v>FAC-000076</x:v>
      </x:c>
      <x:c r="D77" s="26" t="str">
        <x:v>SRC-000019</x:v>
      </x:c>
      <x:c r="E77" s="26" t="str">
        <x:v>technical specifications</x:v>
      </x:c>
      <x:c r="F77" s="26" t="str">
        <x:v>MANUAL</x:v>
      </x:c>
      <x:c r="G77" s="26" t="str">
        <x:v>UNVERIFIED</x:v>
      </x:c>
      <x:c r="H77" s="26" t="str">
        <x:v>PARTIAL</x:v>
      </x:c>
      <x:c r="I77" s="36" t="str"/>
      <x:c r="J77" s="26" t="str">
        <x:v>ChatGPT/web research</x:v>
      </x:c>
      <x:c r="K77" s="26" t="str">
        <x:v>Official-source discrepancy preserved.</x:v>
      </x:c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 t="str">
        <x:v>AST-000077</x:v>
      </x:c>
      <x:c r="B78" s="26" t="str">
        <x:v>TECHNICAL_FACT</x:v>
      </x:c>
      <x:c r="C78" s="26" t="str">
        <x:v>FAC-000077</x:v>
      </x:c>
      <x:c r="D78" s="26" t="str">
        <x:v>SRC-000020</x:v>
      </x:c>
      <x:c r="E78" s="26" t="str">
        <x:v>comparison technical table</x:v>
      </x:c>
      <x:c r="F78" s="26" t="str">
        <x:v>MANUAL</x:v>
      </x:c>
      <x:c r="G78" s="26" t="str">
        <x:v>VERIFIED</x:v>
      </x:c>
      <x:c r="H78" s="26" t="str">
        <x:v>EXACT</x:v>
      </x:c>
      <x:c r="I78" s="36" t="n">
        <x:v>46248</x:v>
      </x:c>
      <x:c r="J78" s="26" t="str">
        <x:v>ChatGPT/web research</x:v>
      </x:c>
      <x:c r="K78" s="26" t="str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 t="str">
        <x:v>AST-000078</x:v>
      </x:c>
      <x:c r="B79" s="26" t="str">
        <x:v>TECHNICAL_FACT</x:v>
      </x:c>
      <x:c r="C79" s="26" t="str">
        <x:v>FAC-000078</x:v>
      </x:c>
      <x:c r="D79" s="26" t="str">
        <x:v>SRC-000020</x:v>
      </x:c>
      <x:c r="E79" s="26" t="str">
        <x:v>comparison technical table</x:v>
      </x:c>
      <x:c r="F79" s="26" t="str">
        <x:v>MANUAL</x:v>
      </x:c>
      <x:c r="G79" s="26" t="str">
        <x:v>VERIFIED</x:v>
      </x:c>
      <x:c r="H79" s="26" t="str">
        <x:v>EXACT</x:v>
      </x:c>
      <x:c r="I79" s="36" t="n">
        <x:v>46248</x:v>
      </x:c>
      <x:c r="J79" s="26" t="str">
        <x:v>ChatGPT/web research</x:v>
      </x:c>
      <x:c r="K79" s="26" t="str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 t="str">
        <x:v>AST-000079</x:v>
      </x:c>
      <x:c r="B80" s="26" t="str">
        <x:v>TECHNICAL_FACT</x:v>
      </x:c>
      <x:c r="C80" s="26" t="str">
        <x:v>FAC-000079</x:v>
      </x:c>
      <x:c r="D80" s="26" t="str">
        <x:v>SRC-000020</x:v>
      </x:c>
      <x:c r="E80" s="26" t="str">
        <x:v>comparison technical table</x:v>
      </x:c>
      <x:c r="F80" s="26" t="str">
        <x:v>MANUAL</x:v>
      </x:c>
      <x:c r="G80" s="26" t="str">
        <x:v>VERIFIED</x:v>
      </x:c>
      <x:c r="H80" s="26" t="str">
        <x:v>EXACT</x:v>
      </x:c>
      <x:c r="I80" s="36" t="n">
        <x:v>46248</x:v>
      </x:c>
      <x:c r="J80" s="26" t="str">
        <x:v>ChatGPT/web research</x:v>
      </x:c>
      <x:c r="K80" s="26" t="str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 t="str">
        <x:v>AST-000080</x:v>
      </x:c>
      <x:c r="B81" s="26" t="str">
        <x:v>TECHNICAL_FACT</x:v>
      </x:c>
      <x:c r="C81" s="26" t="str">
        <x:v>FAC-000080</x:v>
      </x:c>
      <x:c r="D81" s="26" t="str">
        <x:v>SRC-000020</x:v>
      </x:c>
      <x:c r="E81" s="26" t="str">
        <x:v>comparison technical table</x:v>
      </x:c>
      <x:c r="F81" s="26" t="str">
        <x:v>MANUAL</x:v>
      </x:c>
      <x:c r="G81" s="26" t="str">
        <x:v>VERIFIED</x:v>
      </x:c>
      <x:c r="H81" s="26" t="str">
        <x:v>EXACT</x:v>
      </x:c>
      <x:c r="I81" s="36" t="n">
        <x:v>46248</x:v>
      </x:c>
      <x:c r="J81" s="26" t="str">
        <x:v>ChatGPT/web research</x:v>
      </x:c>
      <x:c r="K81" s="26" t="str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 t="str">
        <x:v>AST-000081</x:v>
      </x:c>
      <x:c r="B82" s="26" t="str">
        <x:v>TECHNICAL_FACT</x:v>
      </x:c>
      <x:c r="C82" s="26" t="str">
        <x:v>FAC-000081</x:v>
      </x:c>
      <x:c r="D82" s="26" t="str">
        <x:v>SRC-000020</x:v>
      </x:c>
      <x:c r="E82" s="26" t="str">
        <x:v>comparison technical table</x:v>
      </x:c>
      <x:c r="F82" s="26" t="str">
        <x:v>MANUAL</x:v>
      </x:c>
      <x:c r="G82" s="26" t="str">
        <x:v>VERIFIED</x:v>
      </x:c>
      <x:c r="H82" s="26" t="str">
        <x:v>EXACT</x:v>
      </x:c>
      <x:c r="I82" s="36" t="n">
        <x:v>46248</x:v>
      </x:c>
      <x:c r="J82" s="26" t="str">
        <x:v>ChatGPT/web research</x:v>
      </x:c>
      <x:c r="K82" s="26" t="str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 t="str">
        <x:v>AST-000082</x:v>
      </x:c>
      <x:c r="B83" s="26" t="str">
        <x:v>TECHNICAL_FACT</x:v>
      </x:c>
      <x:c r="C83" s="26" t="str">
        <x:v>FAC-000082</x:v>
      </x:c>
      <x:c r="D83" s="26" t="str">
        <x:v>SRC-000020</x:v>
      </x:c>
      <x:c r="E83" s="26" t="str">
        <x:v>comparison technical table</x:v>
      </x:c>
      <x:c r="F83" s="26" t="str">
        <x:v>MANUAL</x:v>
      </x:c>
      <x:c r="G83" s="26" t="str">
        <x:v>VERIFIED</x:v>
      </x:c>
      <x:c r="H83" s="26" t="str">
        <x:v>EXACT</x:v>
      </x:c>
      <x:c r="I83" s="36" t="n">
        <x:v>46248</x:v>
      </x:c>
      <x:c r="J83" s="26" t="str">
        <x:v>ChatGPT/web research</x:v>
      </x:c>
      <x:c r="K83" s="26" t="str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 t="str">
        <x:v>AST-000083</x:v>
      </x:c>
      <x:c r="B84" s="26" t="str">
        <x:v>TECHNICAL_FACT</x:v>
      </x:c>
      <x:c r="C84" s="26" t="str">
        <x:v>FAC-000083</x:v>
      </x:c>
      <x:c r="D84" s="26" t="str">
        <x:v>SRC-000020</x:v>
      </x:c>
      <x:c r="E84" s="26" t="str">
        <x:v>comparison technical table</x:v>
      </x:c>
      <x:c r="F84" s="26" t="str">
        <x:v>MANUAL</x:v>
      </x:c>
      <x:c r="G84" s="26" t="str">
        <x:v>VERIFIED</x:v>
      </x:c>
      <x:c r="H84" s="26" t="str">
        <x:v>EXACT</x:v>
      </x:c>
      <x:c r="I84" s="36" t="n">
        <x:v>46248</x:v>
      </x:c>
      <x:c r="J84" s="26" t="str">
        <x:v>ChatGPT/web research</x:v>
      </x:c>
      <x:c r="K84" s="26" t="str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 t="str">
        <x:v>AST-000084</x:v>
      </x:c>
      <x:c r="B85" s="26" t="str">
        <x:v>TECHNICAL_FACT</x:v>
      </x:c>
      <x:c r="C85" s="26" t="str">
        <x:v>FAC-000084</x:v>
      </x:c>
      <x:c r="D85" s="26" t="str">
        <x:v>SRC-000009</x:v>
      </x:c>
      <x:c r="E85" s="26" t="str">
        <x:v>cargo section</x:v>
      </x:c>
      <x:c r="F85" s="26" t="str">
        <x:v>MANUAL</x:v>
      </x:c>
      <x:c r="G85" s="26" t="str">
        <x:v>VERIFIED</x:v>
      </x:c>
      <x:c r="H85" s="26" t="str">
        <x:v>EXACT</x:v>
      </x:c>
      <x:c r="I85" s="36" t="n">
        <x:v>46248</x:v>
      </x:c>
      <x:c r="J85" s="26" t="str">
        <x:v>ChatGPT/web research</x:v>
      </x:c>
      <x:c r="K85" s="26" t="str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 t="str">
        <x:v>AST-000085</x:v>
      </x:c>
      <x:c r="B86" s="26" t="str">
        <x:v>EQUIPMENT_FACT</x:v>
      </x:c>
      <x:c r="C86" s="26" t="str">
        <x:v>EQP-000001</x:v>
      </x:c>
      <x:c r="D86" s="26" t="str">
        <x:v>SRC-000011</x:v>
      </x:c>
      <x:c r="E86" s="26" t="str">
        <x:v>equipment section</x:v>
      </x:c>
      <x:c r="F86" s="26" t="str">
        <x:v>MANUAL</x:v>
      </x:c>
      <x:c r="G86" s="26" t="str">
        <x:v>VERIFIED</x:v>
      </x:c>
      <x:c r="H86" s="26" t="str">
        <x:v>EXACT</x:v>
      </x:c>
      <x:c r="I86" s="36" t="n">
        <x:v>46248</x:v>
      </x:c>
      <x:c r="J86" s="26" t="str">
        <x:v>ChatGPT/web research</x:v>
      </x:c>
      <x:c r="K86" s="26" t="str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 t="str">
        <x:v>AST-000086</x:v>
      </x:c>
      <x:c r="B87" s="26" t="str">
        <x:v>EQUIPMENT_FACT</x:v>
      </x:c>
      <x:c r="C87" s="26" t="str">
        <x:v>EQP-000002</x:v>
      </x:c>
      <x:c r="D87" s="26" t="str">
        <x:v>SRC-000011</x:v>
      </x:c>
      <x:c r="E87" s="26" t="str">
        <x:v>equipment section</x:v>
      </x:c>
      <x:c r="F87" s="26" t="str">
        <x:v>MANUAL</x:v>
      </x:c>
      <x:c r="G87" s="26" t="str">
        <x:v>VERIFIED</x:v>
      </x:c>
      <x:c r="H87" s="26" t="str">
        <x:v>EXACT</x:v>
      </x:c>
      <x:c r="I87" s="36" t="n">
        <x:v>46248</x:v>
      </x:c>
      <x:c r="J87" s="26" t="str">
        <x:v>ChatGPT/web research</x:v>
      </x:c>
      <x:c r="K87" s="26" t="str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 t="str">
        <x:v>AST-000087</x:v>
      </x:c>
      <x:c r="B88" s="26" t="str">
        <x:v>EQUIPMENT_FACT</x:v>
      </x:c>
      <x:c r="C88" s="26" t="str">
        <x:v>EQP-000003</x:v>
      </x:c>
      <x:c r="D88" s="26" t="str">
        <x:v>SRC-000011</x:v>
      </x:c>
      <x:c r="E88" s="26" t="str">
        <x:v>equipment section</x:v>
      </x:c>
      <x:c r="F88" s="26" t="str">
        <x:v>MANUAL</x:v>
      </x:c>
      <x:c r="G88" s="26" t="str">
        <x:v>VERIFIED</x:v>
      </x:c>
      <x:c r="H88" s="26" t="str">
        <x:v>EXACT</x:v>
      </x:c>
      <x:c r="I88" s="36" t="n">
        <x:v>46248</x:v>
      </x:c>
      <x:c r="J88" s="26" t="str">
        <x:v>ChatGPT/web research</x:v>
      </x:c>
      <x:c r="K88" s="26" t="str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 t="str">
        <x:v>AST-000088</x:v>
      </x:c>
      <x:c r="B89" s="26" t="str">
        <x:v>EQUIPMENT_FACT</x:v>
      </x:c>
      <x:c r="C89" s="26" t="str">
        <x:v>EQP-000004</x:v>
      </x:c>
      <x:c r="D89" s="26" t="str">
        <x:v>SRC-000011</x:v>
      </x:c>
      <x:c r="E89" s="26" t="str">
        <x:v>equipment section</x:v>
      </x:c>
      <x:c r="F89" s="26" t="str">
        <x:v>MANUAL</x:v>
      </x:c>
      <x:c r="G89" s="26" t="str">
        <x:v>VERIFIED</x:v>
      </x:c>
      <x:c r="H89" s="26" t="str">
        <x:v>EXACT</x:v>
      </x:c>
      <x:c r="I89" s="36" t="n">
        <x:v>46248</x:v>
      </x:c>
      <x:c r="J89" s="26" t="str">
        <x:v>ChatGPT/web research</x:v>
      </x:c>
      <x:c r="K89" s="26" t="str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 t="str">
        <x:v>AST-000089</x:v>
      </x:c>
      <x:c r="B90" s="26" t="str">
        <x:v>EQUIPMENT_FACT</x:v>
      </x:c>
      <x:c r="C90" s="26" t="str">
        <x:v>EQP-000005</x:v>
      </x:c>
      <x:c r="D90" s="26" t="str">
        <x:v>SRC-000011</x:v>
      </x:c>
      <x:c r="E90" s="26" t="str">
        <x:v>equipment section</x:v>
      </x:c>
      <x:c r="F90" s="26" t="str">
        <x:v>MANUAL</x:v>
      </x:c>
      <x:c r="G90" s="26" t="str">
        <x:v>VERIFIED</x:v>
      </x:c>
      <x:c r="H90" s="26" t="str">
        <x:v>EXACT</x:v>
      </x:c>
      <x:c r="I90" s="36" t="n">
        <x:v>46248</x:v>
      </x:c>
      <x:c r="J90" s="26" t="str">
        <x:v>ChatGPT/web research</x:v>
      </x:c>
      <x:c r="K90" s="26" t="str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 t="str">
        <x:v>AST-000090</x:v>
      </x:c>
      <x:c r="B91" s="26" t="str">
        <x:v>EQUIPMENT_FACT</x:v>
      </x:c>
      <x:c r="C91" s="26" t="str">
        <x:v>EQP-000006</x:v>
      </x:c>
      <x:c r="D91" s="26" t="str">
        <x:v>SRC-000011</x:v>
      </x:c>
      <x:c r="E91" s="26" t="str">
        <x:v>equipment section</x:v>
      </x:c>
      <x:c r="F91" s="26" t="str">
        <x:v>MANUAL</x:v>
      </x:c>
      <x:c r="G91" s="26" t="str">
        <x:v>VERIFIED</x:v>
      </x:c>
      <x:c r="H91" s="26" t="str">
        <x:v>EXACT</x:v>
      </x:c>
      <x:c r="I91" s="36" t="n">
        <x:v>46248</x:v>
      </x:c>
      <x:c r="J91" s="26" t="str">
        <x:v>ChatGPT/web research</x:v>
      </x:c>
      <x:c r="K91" s="26" t="str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 t="str">
        <x:v>AST-000091</x:v>
      </x:c>
      <x:c r="B92" s="26" t="str">
        <x:v>EQUIPMENT_FACT</x:v>
      </x:c>
      <x:c r="C92" s="26" t="str">
        <x:v>EQP-000007</x:v>
      </x:c>
      <x:c r="D92" s="26" t="str">
        <x:v>SRC-000011</x:v>
      </x:c>
      <x:c r="E92" s="26" t="str">
        <x:v>equipment section</x:v>
      </x:c>
      <x:c r="F92" s="26" t="str">
        <x:v>MANUAL</x:v>
      </x:c>
      <x:c r="G92" s="26" t="str">
        <x:v>VERIFIED</x:v>
      </x:c>
      <x:c r="H92" s="26" t="str">
        <x:v>EXACT</x:v>
      </x:c>
      <x:c r="I92" s="36" t="n">
        <x:v>46248</x:v>
      </x:c>
      <x:c r="J92" s="26" t="str">
        <x:v>ChatGPT/web research</x:v>
      </x:c>
      <x:c r="K92" s="26" t="str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 t="str">
        <x:v>AST-000092</x:v>
      </x:c>
      <x:c r="B93" s="26" t="str">
        <x:v>EQUIPMENT_FACT</x:v>
      </x:c>
      <x:c r="C93" s="26" t="str">
        <x:v>EQP-000008</x:v>
      </x:c>
      <x:c r="D93" s="26" t="str">
        <x:v>SRC-000011</x:v>
      </x:c>
      <x:c r="E93" s="26" t="str">
        <x:v>equipment section</x:v>
      </x:c>
      <x:c r="F93" s="26" t="str">
        <x:v>MANUAL</x:v>
      </x:c>
      <x:c r="G93" s="26" t="str">
        <x:v>UNVERIFIED</x:v>
      </x:c>
      <x:c r="H93" s="26" t="str">
        <x:v>UNCERTAIN</x:v>
      </x:c>
      <x:c r="I93" s="36" t="str"/>
      <x:c r="J93" s="26" t="str">
        <x:v>ChatGPT/web research</x:v>
      </x:c>
      <x:c r="K93" s="26" t="str">
        <x:v>Not explicitly resolved in this pass.</x:v>
      </x:c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 t="str">
        <x:v>AST-000093</x:v>
      </x:c>
      <x:c r="B94" s="26" t="str">
        <x:v>EQUIPMENT_FACT</x:v>
      </x:c>
      <x:c r="C94" s="26" t="str">
        <x:v>EQP-000009</x:v>
      </x:c>
      <x:c r="D94" s="26" t="str">
        <x:v>SRC-000011</x:v>
      </x:c>
      <x:c r="E94" s="26" t="str">
        <x:v>equipment section</x:v>
      </x:c>
      <x:c r="F94" s="26" t="str">
        <x:v>MANUAL</x:v>
      </x:c>
      <x:c r="G94" s="26" t="str">
        <x:v>UNVERIFIED</x:v>
      </x:c>
      <x:c r="H94" s="26" t="str">
        <x:v>UNCERTAIN</x:v>
      </x:c>
      <x:c r="I94" s="36" t="str"/>
      <x:c r="J94" s="26" t="str">
        <x:v>ChatGPT/web research</x:v>
      </x:c>
      <x:c r="K94" s="26" t="str">
        <x:v>Not explicitly resolved in this pass.</x:v>
      </x:c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 t="str">
        <x:v>AST-000094</x:v>
      </x:c>
      <x:c r="B95" s="26" t="str">
        <x:v>EQUIPMENT_FACT</x:v>
      </x:c>
      <x:c r="C95" s="26" t="str">
        <x:v>EQP-000010</x:v>
      </x:c>
      <x:c r="D95" s="26" t="str">
        <x:v>SRC-000011</x:v>
      </x:c>
      <x:c r="E95" s="26" t="str">
        <x:v>equipment section</x:v>
      </x:c>
      <x:c r="F95" s="26" t="str">
        <x:v>MANUAL</x:v>
      </x:c>
      <x:c r="G95" s="26" t="str">
        <x:v>UNVERIFIED</x:v>
      </x:c>
      <x:c r="H95" s="26" t="str">
        <x:v>UNCERTAIN</x:v>
      </x:c>
      <x:c r="I95" s="36" t="str"/>
      <x:c r="J95" s="26" t="str">
        <x:v>ChatGPT/web research</x:v>
      </x:c>
      <x:c r="K95" s="26" t="str">
        <x:v>Not explicitly resolved in this pass.</x:v>
      </x:c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 t="str">
        <x:v>AST-000095</x:v>
      </x:c>
      <x:c r="B96" s="26" t="str">
        <x:v>EQUIPMENT_FACT</x:v>
      </x:c>
      <x:c r="C96" s="26" t="str">
        <x:v>EQP-000011</x:v>
      </x:c>
      <x:c r="D96" s="26" t="str">
        <x:v>SRC-000011</x:v>
      </x:c>
      <x:c r="E96" s="26" t="str">
        <x:v>equipment section</x:v>
      </x:c>
      <x:c r="F96" s="26" t="str">
        <x:v>MANUAL</x:v>
      </x:c>
      <x:c r="G96" s="26" t="str">
        <x:v>UNVERIFIED</x:v>
      </x:c>
      <x:c r="H96" s="26" t="str">
        <x:v>UNCERTAIN</x:v>
      </x:c>
      <x:c r="I96" s="36" t="str"/>
      <x:c r="J96" s="26" t="str">
        <x:v>ChatGPT/web research</x:v>
      </x:c>
      <x:c r="K96" s="26" t="str">
        <x:v>Not explicitly resolved in this pass.</x:v>
      </x:c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 t="str">
        <x:v>AST-000096</x:v>
      </x:c>
      <x:c r="B97" s="26" t="str">
        <x:v>EQUIPMENT_FACT</x:v>
      </x:c>
      <x:c r="C97" s="26" t="str">
        <x:v>EQP-000012</x:v>
      </x:c>
      <x:c r="D97" s="26" t="str">
        <x:v>SRC-000011</x:v>
      </x:c>
      <x:c r="E97" s="26" t="str">
        <x:v>equipment section</x:v>
      </x:c>
      <x:c r="F97" s="26" t="str">
        <x:v>MANUAL</x:v>
      </x:c>
      <x:c r="G97" s="26" t="str">
        <x:v>UNVERIFIED</x:v>
      </x:c>
      <x:c r="H97" s="26" t="str">
        <x:v>UNCERTAIN</x:v>
      </x:c>
      <x:c r="I97" s="36" t="str"/>
      <x:c r="J97" s="26" t="str">
        <x:v>ChatGPT/web research</x:v>
      </x:c>
      <x:c r="K97" s="26" t="str">
        <x:v>Not explicitly resolved in this pass.</x:v>
      </x:c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 t="str">
        <x:v>AST-000097</x:v>
      </x:c>
      <x:c r="B98" s="26" t="str">
        <x:v>EQUIPMENT_FACT</x:v>
      </x:c>
      <x:c r="C98" s="26" t="str">
        <x:v>EQP-000013</x:v>
      </x:c>
      <x:c r="D98" s="26" t="str">
        <x:v>SRC-000012</x:v>
      </x:c>
      <x:c r="E98" s="26" t="str">
        <x:v>Easy equipment list</x:v>
      </x:c>
      <x:c r="F98" s="26" t="str">
        <x:v>MANUAL</x:v>
      </x:c>
      <x:c r="G98" s="26" t="str">
        <x:v>VERIFIED</x:v>
      </x:c>
      <x:c r="H98" s="26" t="str">
        <x:v>EXACT</x:v>
      </x:c>
      <x:c r="I98" s="36" t="n">
        <x:v>46248</x:v>
      </x:c>
      <x:c r="J98" s="26" t="str">
        <x:v>ChatGPT/web research</x:v>
      </x:c>
      <x:c r="K98" s="26" t="str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 t="str">
        <x:v>AST-000098</x:v>
      </x:c>
      <x:c r="B99" s="26" t="str">
        <x:v>EQUIPMENT_FACT</x:v>
      </x:c>
      <x:c r="C99" s="26" t="str">
        <x:v>EQP-000014</x:v>
      </x:c>
      <x:c r="D99" s="26" t="str">
        <x:v>SRC-000012</x:v>
      </x:c>
      <x:c r="E99" s="26" t="str">
        <x:v>Easy equipment list</x:v>
      </x:c>
      <x:c r="F99" s="26" t="str">
        <x:v>MANUAL</x:v>
      </x:c>
      <x:c r="G99" s="26" t="str">
        <x:v>VERIFIED</x:v>
      </x:c>
      <x:c r="H99" s="26" t="str">
        <x:v>EXACT</x:v>
      </x:c>
      <x:c r="I99" s="36" t="n">
        <x:v>46248</x:v>
      </x:c>
      <x:c r="J99" s="26" t="str">
        <x:v>ChatGPT/web research</x:v>
      </x:c>
      <x:c r="K99" s="26" t="str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 t="str">
        <x:v>AST-000099</x:v>
      </x:c>
      <x:c r="B100" s="26" t="str">
        <x:v>EQUIPMENT_FACT</x:v>
      </x:c>
      <x:c r="C100" s="26" t="str">
        <x:v>EQP-000015</x:v>
      </x:c>
      <x:c r="D100" s="26" t="str">
        <x:v>SRC-000012</x:v>
      </x:c>
      <x:c r="E100" s="26" t="str">
        <x:v>Easy equipment list</x:v>
      </x:c>
      <x:c r="F100" s="26" t="str">
        <x:v>MANUAL</x:v>
      </x:c>
      <x:c r="G100" s="26" t="str">
        <x:v>VERIFIED</x:v>
      </x:c>
      <x:c r="H100" s="26" t="str">
        <x:v>EXACT</x:v>
      </x:c>
      <x:c r="I100" s="36" t="n">
        <x:v>46248</x:v>
      </x:c>
      <x:c r="J100" s="26" t="str">
        <x:v>ChatGPT/web research</x:v>
      </x:c>
      <x:c r="K100" s="26" t="str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 t="str">
        <x:v>AST-000100</x:v>
      </x:c>
      <x:c r="B101" s="26" t="str">
        <x:v>EQUIPMENT_FACT</x:v>
      </x:c>
      <x:c r="C101" s="26" t="str">
        <x:v>EQP-000016</x:v>
      </x:c>
      <x:c r="D101" s="26" t="str">
        <x:v>SRC-000012</x:v>
      </x:c>
      <x:c r="E101" s="26" t="str">
        <x:v>Easy equipment list</x:v>
      </x:c>
      <x:c r="F101" s="26" t="str">
        <x:v>MANUAL</x:v>
      </x:c>
      <x:c r="G101" s="26" t="str">
        <x:v>VERIFIED</x:v>
      </x:c>
      <x:c r="H101" s="26" t="str">
        <x:v>EXACT</x:v>
      </x:c>
      <x:c r="I101" s="36" t="n">
        <x:v>46248</x:v>
      </x:c>
      <x:c r="J101" s="26" t="str">
        <x:v>ChatGPT/web research</x:v>
      </x:c>
      <x:c r="K101" s="26" t="str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 t="str">
        <x:v>AST-000101</x:v>
      </x:c>
      <x:c r="B102" s="26" t="str">
        <x:v>EQUIPMENT_FACT</x:v>
      </x:c>
      <x:c r="C102" s="26" t="str">
        <x:v>EQP-000017</x:v>
      </x:c>
      <x:c r="D102" s="26" t="str">
        <x:v>SRC-000012</x:v>
      </x:c>
      <x:c r="E102" s="26" t="str">
        <x:v>version lists</x:v>
      </x:c>
      <x:c r="F102" s="26" t="str">
        <x:v>MANUAL</x:v>
      </x:c>
      <x:c r="G102" s="26" t="str">
        <x:v>UNVERIFIED</x:v>
      </x:c>
      <x:c r="H102" s="26" t="str">
        <x:v>UNCERTAIN</x:v>
      </x:c>
      <x:c r="I102" s="36" t="str"/>
      <x:c r="J102" s="26" t="str">
        <x:v>ChatGPT/web research</x:v>
      </x:c>
      <x:c r="K102" s="26" t="str">
        <x:v>Unlisted on Easy is not proof of NOT_AVAILABLE.</x:v>
      </x:c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 t="str">
        <x:v>AST-000102</x:v>
      </x:c>
      <x:c r="B103" s="26" t="str">
        <x:v>EQUIPMENT_FACT</x:v>
      </x:c>
      <x:c r="C103" s="26" t="str">
        <x:v>EQP-000018</x:v>
      </x:c>
      <x:c r="D103" s="26" t="str">
        <x:v>SRC-000012</x:v>
      </x:c>
      <x:c r="E103" s="26" t="str">
        <x:v>version lists</x:v>
      </x:c>
      <x:c r="F103" s="26" t="str">
        <x:v>MANUAL</x:v>
      </x:c>
      <x:c r="G103" s="26" t="str">
        <x:v>UNVERIFIED</x:v>
      </x:c>
      <x:c r="H103" s="26" t="str">
        <x:v>UNCERTAIN</x:v>
      </x:c>
      <x:c r="I103" s="36" t="str"/>
      <x:c r="J103" s="26" t="str">
        <x:v>ChatGPT/web research</x:v>
      </x:c>
      <x:c r="K103" s="26" t="str">
        <x:v>Unlisted on Easy is not proof of NOT_AVAILABLE.</x:v>
      </x:c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 t="str">
        <x:v>AST-000103</x:v>
      </x:c>
      <x:c r="B104" s="26" t="str">
        <x:v>EQUIPMENT_FACT</x:v>
      </x:c>
      <x:c r="C104" s="26" t="str">
        <x:v>EQP-000019</x:v>
      </x:c>
      <x:c r="D104" s="26" t="str">
        <x:v>SRC-000012</x:v>
      </x:c>
      <x:c r="E104" s="26" t="str">
        <x:v>version lists</x:v>
      </x:c>
      <x:c r="F104" s="26" t="str">
        <x:v>MANUAL</x:v>
      </x:c>
      <x:c r="G104" s="26" t="str">
        <x:v>UNVERIFIED</x:v>
      </x:c>
      <x:c r="H104" s="26" t="str">
        <x:v>UNCERTAIN</x:v>
      </x:c>
      <x:c r="I104" s="36" t="str"/>
      <x:c r="J104" s="26" t="str">
        <x:v>ChatGPT/web research</x:v>
      </x:c>
      <x:c r="K104" s="26" t="str">
        <x:v>Unlisted on Easy is not proof of NOT_AVAILABLE.</x:v>
      </x:c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 t="str">
        <x:v>AST-000104</x:v>
      </x:c>
      <x:c r="B105" s="26" t="str">
        <x:v>EQUIPMENT_FACT</x:v>
      </x:c>
      <x:c r="C105" s="26" t="str">
        <x:v>EQP-000020</x:v>
      </x:c>
      <x:c r="D105" s="26" t="str">
        <x:v>SRC-000012</x:v>
      </x:c>
      <x:c r="E105" s="26" t="str">
        <x:v>version lists</x:v>
      </x:c>
      <x:c r="F105" s="26" t="str">
        <x:v>MANUAL</x:v>
      </x:c>
      <x:c r="G105" s="26" t="str">
        <x:v>UNVERIFIED</x:v>
      </x:c>
      <x:c r="H105" s="26" t="str">
        <x:v>UNCERTAIN</x:v>
      </x:c>
      <x:c r="I105" s="36" t="str"/>
      <x:c r="J105" s="26" t="str">
        <x:v>ChatGPT/web research</x:v>
      </x:c>
      <x:c r="K105" s="26" t="str">
        <x:v>Unlisted on Easy is not proof of NOT_AVAILABLE.</x:v>
      </x:c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 t="str">
        <x:v>AST-000105</x:v>
      </x:c>
      <x:c r="B106" s="26" t="str">
        <x:v>EQUIPMENT_FACT</x:v>
      </x:c>
      <x:c r="C106" s="26" t="str">
        <x:v>EQP-000021</x:v>
      </x:c>
      <x:c r="D106" s="26" t="str">
        <x:v>SRC-000012</x:v>
      </x:c>
      <x:c r="E106" s="26" t="str">
        <x:v>version lists</x:v>
      </x:c>
      <x:c r="F106" s="26" t="str">
        <x:v>MANUAL</x:v>
      </x:c>
      <x:c r="G106" s="26" t="str">
        <x:v>UNVERIFIED</x:v>
      </x:c>
      <x:c r="H106" s="26" t="str">
        <x:v>UNCERTAIN</x:v>
      </x:c>
      <x:c r="I106" s="36" t="str"/>
      <x:c r="J106" s="26" t="str">
        <x:v>ChatGPT/web research</x:v>
      </x:c>
      <x:c r="K106" s="26" t="str">
        <x:v>Unlisted on Easy is not proof of NOT_AVAILABLE.</x:v>
      </x:c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 t="str">
        <x:v>AST-000106</x:v>
      </x:c>
      <x:c r="B107" s="26" t="str">
        <x:v>EQUIPMENT_FACT</x:v>
      </x:c>
      <x:c r="C107" s="26" t="str">
        <x:v>EQP-000022</x:v>
      </x:c>
      <x:c r="D107" s="26" t="str">
        <x:v>SRC-000013</x:v>
      </x:c>
      <x:c r="E107" s="26" t="str">
        <x:v>equipment p.3</x:v>
      </x:c>
      <x:c r="F107" s="26" t="str">
        <x:v>MANUAL</x:v>
      </x:c>
      <x:c r="G107" s="26" t="str">
        <x:v>VERIFIED</x:v>
      </x:c>
      <x:c r="H107" s="26" t="str">
        <x:v>EXACT</x:v>
      </x:c>
      <x:c r="I107" s="36" t="n">
        <x:v>46248</x:v>
      </x:c>
      <x:c r="J107" s="26" t="str">
        <x:v>ChatGPT/web research</x:v>
      </x:c>
      <x:c r="K107" s="26" t="str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 t="str">
        <x:v>AST-000107</x:v>
      </x:c>
      <x:c r="B108" s="26" t="str">
        <x:v>EQUIPMENT_FACT</x:v>
      </x:c>
      <x:c r="C108" s="26" t="str">
        <x:v>EQP-000023</x:v>
      </x:c>
      <x:c r="D108" s="26" t="str">
        <x:v>SRC-000013</x:v>
      </x:c>
      <x:c r="E108" s="26" t="str">
        <x:v>equipment p.3</x:v>
      </x:c>
      <x:c r="F108" s="26" t="str">
        <x:v>MANUAL</x:v>
      </x:c>
      <x:c r="G108" s="26" t="str">
        <x:v>VERIFIED</x:v>
      </x:c>
      <x:c r="H108" s="26" t="str">
        <x:v>EXACT</x:v>
      </x:c>
      <x:c r="I108" s="36" t="n">
        <x:v>46248</x:v>
      </x:c>
      <x:c r="J108" s="26" t="str">
        <x:v>ChatGPT/web research</x:v>
      </x:c>
      <x:c r="K108" s="26" t="str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 t="str">
        <x:v>AST-000108</x:v>
      </x:c>
      <x:c r="B109" s="26" t="str">
        <x:v>EQUIPMENT_FACT</x:v>
      </x:c>
      <x:c r="C109" s="26" t="str">
        <x:v>EQP-000024</x:v>
      </x:c>
      <x:c r="D109" s="26" t="str">
        <x:v>SRC-000013</x:v>
      </x:c>
      <x:c r="E109" s="26" t="str">
        <x:v>equipment p.3</x:v>
      </x:c>
      <x:c r="F109" s="26" t="str">
        <x:v>MANUAL</x:v>
      </x:c>
      <x:c r="G109" s="26" t="str">
        <x:v>VERIFIED</x:v>
      </x:c>
      <x:c r="H109" s="26" t="str">
        <x:v>EXACT</x:v>
      </x:c>
      <x:c r="I109" s="36" t="n">
        <x:v>46248</x:v>
      </x:c>
      <x:c r="J109" s="26" t="str">
        <x:v>ChatGPT/web research</x:v>
      </x:c>
      <x:c r="K109" s="26" t="str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 t="str">
        <x:v>AST-000109</x:v>
      </x:c>
      <x:c r="B110" s="26" t="str">
        <x:v>EQUIPMENT_FACT</x:v>
      </x:c>
      <x:c r="C110" s="26" t="str">
        <x:v>EQP-000025</x:v>
      </x:c>
      <x:c r="D110" s="26" t="str">
        <x:v>SRC-000013</x:v>
      </x:c>
      <x:c r="E110" s="26" t="str">
        <x:v>P0 page subset</x:v>
      </x:c>
      <x:c r="F110" s="26" t="str">
        <x:v>MANUAL</x:v>
      </x:c>
      <x:c r="G110" s="26" t="str">
        <x:v>UNVERIFIED</x:v>
      </x:c>
      <x:c r="H110" s="26" t="str">
        <x:v>UNCERTAIN</x:v>
      </x:c>
      <x:c r="I110" s="36" t="str"/>
      <x:c r="J110" s="26" t="str">
        <x:v>ChatGPT/web research</x:v>
      </x:c>
      <x:c r="K110" s="26" t="str">
        <x:v>Not resolved in this pass.</x:v>
      </x:c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 t="str">
        <x:v>AST-000110</x:v>
      </x:c>
      <x:c r="B111" s="26" t="str">
        <x:v>EQUIPMENT_FACT</x:v>
      </x:c>
      <x:c r="C111" s="26" t="str">
        <x:v>EQP-000026</x:v>
      </x:c>
      <x:c r="D111" s="26" t="str">
        <x:v>SRC-000013</x:v>
      </x:c>
      <x:c r="E111" s="26" t="str">
        <x:v>P0 page subset</x:v>
      </x:c>
      <x:c r="F111" s="26" t="str">
        <x:v>MANUAL</x:v>
      </x:c>
      <x:c r="G111" s="26" t="str">
        <x:v>UNVERIFIED</x:v>
      </x:c>
      <x:c r="H111" s="26" t="str">
        <x:v>UNCERTAIN</x:v>
      </x:c>
      <x:c r="I111" s="36" t="str"/>
      <x:c r="J111" s="26" t="str">
        <x:v>ChatGPT/web research</x:v>
      </x:c>
      <x:c r="K111" s="26" t="str">
        <x:v>Not resolved in this pass.</x:v>
      </x:c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 t="str">
        <x:v>AST-000111</x:v>
      </x:c>
      <x:c r="B112" s="26" t="str">
        <x:v>EQUIPMENT_FACT</x:v>
      </x:c>
      <x:c r="C112" s="26" t="str">
        <x:v>EQP-000027</x:v>
      </x:c>
      <x:c r="D112" s="26" t="str">
        <x:v>SRC-000013</x:v>
      </x:c>
      <x:c r="E112" s="26" t="str">
        <x:v>P0 page subset</x:v>
      </x:c>
      <x:c r="F112" s="26" t="str">
        <x:v>MANUAL</x:v>
      </x:c>
      <x:c r="G112" s="26" t="str">
        <x:v>UNVERIFIED</x:v>
      </x:c>
      <x:c r="H112" s="26" t="str">
        <x:v>UNCERTAIN</x:v>
      </x:c>
      <x:c r="I112" s="36" t="str"/>
      <x:c r="J112" s="26" t="str">
        <x:v>ChatGPT/web research</x:v>
      </x:c>
      <x:c r="K112" s="26" t="str">
        <x:v>Not resolved in this pass.</x:v>
      </x:c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 t="str">
        <x:v>AST-000112</x:v>
      </x:c>
      <x:c r="B113" s="26" t="str">
        <x:v>EQUIPMENT_FACT</x:v>
      </x:c>
      <x:c r="C113" s="26" t="str">
        <x:v>EQP-000028</x:v>
      </x:c>
      <x:c r="D113" s="26" t="str">
        <x:v>SRC-000013</x:v>
      </x:c>
      <x:c r="E113" s="26" t="str">
        <x:v>P0 page subset</x:v>
      </x:c>
      <x:c r="F113" s="26" t="str">
        <x:v>MANUAL</x:v>
      </x:c>
      <x:c r="G113" s="26" t="str">
        <x:v>UNVERIFIED</x:v>
      </x:c>
      <x:c r="H113" s="26" t="str">
        <x:v>UNCERTAIN</x:v>
      </x:c>
      <x:c r="I113" s="36" t="str"/>
      <x:c r="J113" s="26" t="str">
        <x:v>ChatGPT/web research</x:v>
      </x:c>
      <x:c r="K113" s="26" t="str">
        <x:v>Not resolved in this pass.</x:v>
      </x:c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 t="str">
        <x:v>AST-000113</x:v>
      </x:c>
      <x:c r="B114" s="26" t="str">
        <x:v>EQUIPMENT_FACT</x:v>
      </x:c>
      <x:c r="C114" s="26" t="str">
        <x:v>EQP-000029</x:v>
      </x:c>
      <x:c r="D114" s="26" t="str">
        <x:v>SRC-000013</x:v>
      </x:c>
      <x:c r="E114" s="26" t="str">
        <x:v>P0 page subset</x:v>
      </x:c>
      <x:c r="F114" s="26" t="str">
        <x:v>MANUAL</x:v>
      </x:c>
      <x:c r="G114" s="26" t="str">
        <x:v>UNVERIFIED</x:v>
      </x:c>
      <x:c r="H114" s="26" t="str">
        <x:v>UNCERTAIN</x:v>
      </x:c>
      <x:c r="I114" s="36" t="str"/>
      <x:c r="J114" s="26" t="str">
        <x:v>ChatGPT/web research</x:v>
      </x:c>
      <x:c r="K114" s="26" t="str">
        <x:v>Not resolved in this pass.</x:v>
      </x:c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 t="str">
        <x:v>AST-000114</x:v>
      </x:c>
      <x:c r="B115" s="26" t="str">
        <x:v>EQUIPMENT_FACT</x:v>
      </x:c>
      <x:c r="C115" s="26" t="str">
        <x:v>EQP-000030</x:v>
      </x:c>
      <x:c r="D115" s="26" t="str">
        <x:v>SRC-000013</x:v>
      </x:c>
      <x:c r="E115" s="26" t="str">
        <x:v>P0 page subset</x:v>
      </x:c>
      <x:c r="F115" s="26" t="str">
        <x:v>MANUAL</x:v>
      </x:c>
      <x:c r="G115" s="26" t="str">
        <x:v>UNVERIFIED</x:v>
      </x:c>
      <x:c r="H115" s="26" t="str">
        <x:v>UNCERTAIN</x:v>
      </x:c>
      <x:c r="I115" s="36" t="str"/>
      <x:c r="J115" s="26" t="str">
        <x:v>ChatGPT/web research</x:v>
      </x:c>
      <x:c r="K115" s="26" t="str">
        <x:v>Not resolved in this pass.</x:v>
      </x:c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 t="str">
        <x:v>AST-000115</x:v>
      </x:c>
      <x:c r="B116" s="26" t="str">
        <x:v>EQUIPMENT_FACT</x:v>
      </x:c>
      <x:c r="C116" s="26" t="str">
        <x:v>EQP-000031</x:v>
      </x:c>
      <x:c r="D116" s="26" t="str">
        <x:v>SRC-000004</x:v>
      </x:c>
      <x:c r="E116" s="26" t="str">
        <x:v>GL Elegance column</x:v>
      </x:c>
      <x:c r="F116" s="26" t="str">
        <x:v>MANUAL</x:v>
      </x:c>
      <x:c r="G116" s="26" t="str">
        <x:v>VERIFIED</x:v>
      </x:c>
      <x:c r="H116" s="26" t="str">
        <x:v>EXACT</x:v>
      </x:c>
      <x:c r="I116" s="36" t="n">
        <x:v>46248</x:v>
      </x:c>
      <x:c r="J116" s="26" t="str">
        <x:v>ChatGPT/web research</x:v>
      </x:c>
      <x:c r="K116" s="26" t="str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 t="str">
        <x:v>AST-000116</x:v>
      </x:c>
      <x:c r="B117" s="26" t="str">
        <x:v>EQUIPMENT_FACT</x:v>
      </x:c>
      <x:c r="C117" s="26" t="str">
        <x:v>EQP-000032</x:v>
      </x:c>
      <x:c r="D117" s="26" t="str">
        <x:v>SRC-000004</x:v>
      </x:c>
      <x:c r="E117" s="26" t="str">
        <x:v>GL Elegance column</x:v>
      </x:c>
      <x:c r="F117" s="26" t="str">
        <x:v>MANUAL</x:v>
      </x:c>
      <x:c r="G117" s="26" t="str">
        <x:v>VERIFIED</x:v>
      </x:c>
      <x:c r="H117" s="26" t="str">
        <x:v>EXACT</x:v>
      </x:c>
      <x:c r="I117" s="36" t="n">
        <x:v>46248</x:v>
      </x:c>
      <x:c r="J117" s="26" t="str">
        <x:v>ChatGPT/web research</x:v>
      </x:c>
      <x:c r="K117" s="26" t="str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 t="str">
        <x:v>AST-000117</x:v>
      </x:c>
      <x:c r="B118" s="26" t="str">
        <x:v>EQUIPMENT_FACT</x:v>
      </x:c>
      <x:c r="C118" s="26" t="str">
        <x:v>EQP-000033</x:v>
      </x:c>
      <x:c r="D118" s="26" t="str">
        <x:v>SRC-000004</x:v>
      </x:c>
      <x:c r="E118" s="26" t="str">
        <x:v>GL Elegance column</x:v>
      </x:c>
      <x:c r="F118" s="26" t="str">
        <x:v>MANUAL</x:v>
      </x:c>
      <x:c r="G118" s="26" t="str">
        <x:v>VERIFIED</x:v>
      </x:c>
      <x:c r="H118" s="26" t="str">
        <x:v>EXACT</x:v>
      </x:c>
      <x:c r="I118" s="36" t="n">
        <x:v>46248</x:v>
      </x:c>
      <x:c r="J118" s="26" t="str">
        <x:v>ChatGPT/web research</x:v>
      </x:c>
      <x:c r="K118" s="26" t="str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 t="str">
        <x:v>AST-000118</x:v>
      </x:c>
      <x:c r="B119" s="26" t="str">
        <x:v>EQUIPMENT_FACT</x:v>
      </x:c>
      <x:c r="C119" s="26" t="str">
        <x:v>EQP-000034</x:v>
      </x:c>
      <x:c r="D119" s="26" t="str">
        <x:v>SRC-000004</x:v>
      </x:c>
      <x:c r="E119" s="26" t="str">
        <x:v>GL Elegance column</x:v>
      </x:c>
      <x:c r="F119" s="26" t="str">
        <x:v>MANUAL</x:v>
      </x:c>
      <x:c r="G119" s="26" t="str">
        <x:v>VERIFIED</x:v>
      </x:c>
      <x:c r="H119" s="26" t="str">
        <x:v>EXACT</x:v>
      </x:c>
      <x:c r="I119" s="36" t="n">
        <x:v>46248</x:v>
      </x:c>
      <x:c r="J119" s="26" t="str">
        <x:v>ChatGPT/web research</x:v>
      </x:c>
      <x:c r="K119" s="26" t="str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 t="str">
        <x:v>AST-000119</x:v>
      </x:c>
      <x:c r="B120" s="26" t="str">
        <x:v>EQUIPMENT_FACT</x:v>
      </x:c>
      <x:c r="C120" s="26" t="str">
        <x:v>EQP-000035</x:v>
      </x:c>
      <x:c r="D120" s="26" t="str">
        <x:v>SRC-000004</x:v>
      </x:c>
      <x:c r="E120" s="26" t="str">
        <x:v>GL Elegance column</x:v>
      </x:c>
      <x:c r="F120" s="26" t="str">
        <x:v>MANUAL</x:v>
      </x:c>
      <x:c r="G120" s="26" t="str">
        <x:v>VERIFIED</x:v>
      </x:c>
      <x:c r="H120" s="26" t="str">
        <x:v>EXACT</x:v>
      </x:c>
      <x:c r="I120" s="36" t="n">
        <x:v>46248</x:v>
      </x:c>
      <x:c r="J120" s="26" t="str">
        <x:v>ChatGPT/web research</x:v>
      </x:c>
      <x:c r="K120" s="26" t="str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 t="str">
        <x:v>AST-000120</x:v>
      </x:c>
      <x:c r="B121" s="26" t="str">
        <x:v>EQUIPMENT_FACT</x:v>
      </x:c>
      <x:c r="C121" s="26" t="str">
        <x:v>EQP-000036</x:v>
      </x:c>
      <x:c r="D121" s="26" t="str">
        <x:v>SRC-000004</x:v>
      </x:c>
      <x:c r="E121" s="26" t="str">
        <x:v>GL Elegance column</x:v>
      </x:c>
      <x:c r="F121" s="26" t="str">
        <x:v>MANUAL</x:v>
      </x:c>
      <x:c r="G121" s="26" t="str">
        <x:v>VERIFIED</x:v>
      </x:c>
      <x:c r="H121" s="26" t="str">
        <x:v>EXACT</x:v>
      </x:c>
      <x:c r="I121" s="36" t="n">
        <x:v>46248</x:v>
      </x:c>
      <x:c r="J121" s="26" t="str">
        <x:v>ChatGPT/web research</x:v>
      </x:c>
      <x:c r="K121" s="26" t="str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 t="str">
        <x:v>AST-000121</x:v>
      </x:c>
      <x:c r="B122" s="26" t="str">
        <x:v>EQUIPMENT_FACT</x:v>
      </x:c>
      <x:c r="C122" s="26" t="str">
        <x:v>EQP-000037</x:v>
      </x:c>
      <x:c r="D122" s="26" t="str">
        <x:v>SRC-000004</x:v>
      </x:c>
      <x:c r="E122" s="26" t="str">
        <x:v>GL Elegance column</x:v>
      </x:c>
      <x:c r="F122" s="26" t="str">
        <x:v>MANUAL</x:v>
      </x:c>
      <x:c r="G122" s="26" t="str">
        <x:v>VERIFIED</x:v>
      </x:c>
      <x:c r="H122" s="26" t="str">
        <x:v>EXACT</x:v>
      </x:c>
      <x:c r="I122" s="36" t="n">
        <x:v>46248</x:v>
      </x:c>
      <x:c r="J122" s="26" t="str">
        <x:v>ChatGPT/web research</x:v>
      </x:c>
      <x:c r="K122" s="26" t="str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 t="str">
        <x:v>AST-000122</x:v>
      </x:c>
      <x:c r="B123" s="26" t="str">
        <x:v>EQUIPMENT_FACT</x:v>
      </x:c>
      <x:c r="C123" s="26" t="str">
        <x:v>EQP-000038</x:v>
      </x:c>
      <x:c r="D123" s="26" t="str">
        <x:v>SRC-000004</x:v>
      </x:c>
      <x:c r="E123" s="26" t="str">
        <x:v>GL Elegance column</x:v>
      </x:c>
      <x:c r="F123" s="26" t="str">
        <x:v>MANUAL</x:v>
      </x:c>
      <x:c r="G123" s="26" t="str">
        <x:v>VERIFIED</x:v>
      </x:c>
      <x:c r="H123" s="26" t="str">
        <x:v>EXACT</x:v>
      </x:c>
      <x:c r="I123" s="36" t="n">
        <x:v>46248</x:v>
      </x:c>
      <x:c r="J123" s="26" t="str">
        <x:v>ChatGPT/web research</x:v>
      </x:c>
      <x:c r="K123" s="26" t="str">
        <x:v>Official table shows rear-only sensors.</x:v>
      </x:c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 t="str">
        <x:v>AST-000123</x:v>
      </x:c>
      <x:c r="B124" s="26" t="str">
        <x:v>EQUIPMENT_FACT</x:v>
      </x:c>
      <x:c r="C124" s="26" t="str">
        <x:v>EQP-000039</x:v>
      </x:c>
      <x:c r="D124" s="26" t="str">
        <x:v>SRC-000004</x:v>
      </x:c>
      <x:c r="E124" s="26" t="str">
        <x:v>GL Elegance column</x:v>
      </x:c>
      <x:c r="F124" s="26" t="str">
        <x:v>MANUAL</x:v>
      </x:c>
      <x:c r="G124" s="26" t="str">
        <x:v>VERIFIED</x:v>
      </x:c>
      <x:c r="H124" s="26" t="str">
        <x:v>EXACT</x:v>
      </x:c>
      <x:c r="I124" s="36" t="n">
        <x:v>46248</x:v>
      </x:c>
      <x:c r="J124" s="26" t="str">
        <x:v>ChatGPT/web research</x:v>
      </x:c>
      <x:c r="K124" s="26" t="str">
        <x:v>Official table marks heated seats absent.</x:v>
      </x:c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 t="str">
        <x:v>AST-000124</x:v>
      </x:c>
      <x:c r="B125" s="26" t="str">
        <x:v>EQUIPMENT_FACT</x:v>
      </x:c>
      <x:c r="C125" s="26" t="str">
        <x:v>EQP-000040</x:v>
      </x:c>
      <x:c r="D125" s="26" t="str">
        <x:v>SRC-000004</x:v>
      </x:c>
      <x:c r="E125" s="26" t="str">
        <x:v>equipment table</x:v>
      </x:c>
      <x:c r="F125" s="26" t="str">
        <x:v>MANUAL</x:v>
      </x:c>
      <x:c r="G125" s="26" t="str">
        <x:v>UNVERIFIED</x:v>
      </x:c>
      <x:c r="H125" s="26" t="str">
        <x:v>UNCERTAIN</x:v>
      </x:c>
      <x:c r="I125" s="36" t="str"/>
      <x:c r="J125" s="26" t="str">
        <x:v>ChatGPT/web research</x:v>
      </x:c>
      <x:c r="K125" s="26" t="str">
        <x:v>Terminology/applicability unresolved.</x:v>
      </x:c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 t="str">
        <x:v>AST-000125</x:v>
      </x:c>
      <x:c r="B126" s="26" t="str">
        <x:v>EQUIPMENT_FACT</x:v>
      </x:c>
      <x:c r="C126" s="26" t="str">
        <x:v>EQP-000041</x:v>
      </x:c>
      <x:c r="D126" s="26" t="str">
        <x:v>SRC-000004</x:v>
      </x:c>
      <x:c r="E126" s="26" t="str">
        <x:v>equipment table</x:v>
      </x:c>
      <x:c r="F126" s="26" t="str">
        <x:v>MANUAL</x:v>
      </x:c>
      <x:c r="G126" s="26" t="str">
        <x:v>UNVERIFIED</x:v>
      </x:c>
      <x:c r="H126" s="26" t="str">
        <x:v>UNCERTAIN</x:v>
      </x:c>
      <x:c r="I126" s="36" t="str"/>
      <x:c r="J126" s="26" t="str">
        <x:v>ChatGPT/web research</x:v>
      </x:c>
      <x:c r="K126" s="26" t="str">
        <x:v>Terminology/applicability unresolved.</x:v>
      </x:c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 t="str">
        <x:v>AST-000126</x:v>
      </x:c>
      <x:c r="B127" s="26" t="str">
        <x:v>EQUIPMENT_FACT</x:v>
      </x:c>
      <x:c r="C127" s="26" t="str">
        <x:v>EQP-000042</x:v>
      </x:c>
      <x:c r="D127" s="26" t="str">
        <x:v>SRC-000004</x:v>
      </x:c>
      <x:c r="E127" s="26" t="str">
        <x:v>equipment table</x:v>
      </x:c>
      <x:c r="F127" s="26" t="str">
        <x:v>MANUAL</x:v>
      </x:c>
      <x:c r="G127" s="26" t="str">
        <x:v>UNVERIFIED</x:v>
      </x:c>
      <x:c r="H127" s="26" t="str">
        <x:v>UNCERTAIN</x:v>
      </x:c>
      <x:c r="I127" s="36" t="str"/>
      <x:c r="J127" s="26" t="str">
        <x:v>ChatGPT/web research</x:v>
      </x:c>
      <x:c r="K127" s="26" t="str">
        <x:v>Terminology/applicability unresolved.</x:v>
      </x:c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 t="str">
        <x:v>AST-000127</x:v>
      </x:c>
      <x:c r="B128" s="26" t="str">
        <x:v>EQUIPMENT_FACT</x:v>
      </x:c>
      <x:c r="C128" s="26" t="str">
        <x:v>EQP-000043</x:v>
      </x:c>
      <x:c r="D128" s="26" t="str">
        <x:v>SRC-000004</x:v>
      </x:c>
      <x:c r="E128" s="26" t="str">
        <x:v>equipment table</x:v>
      </x:c>
      <x:c r="F128" s="26" t="str">
        <x:v>MANUAL</x:v>
      </x:c>
      <x:c r="G128" s="26" t="str">
        <x:v>UNVERIFIED</x:v>
      </x:c>
      <x:c r="H128" s="26" t="str">
        <x:v>UNCERTAIN</x:v>
      </x:c>
      <x:c r="I128" s="36" t="str"/>
      <x:c r="J128" s="26" t="str">
        <x:v>ChatGPT/web research</x:v>
      </x:c>
      <x:c r="K128" s="26" t="str">
        <x:v>Terminology/applicability unresolved.</x:v>
      </x:c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 t="str">
        <x:v>AST-000128</x:v>
      </x:c>
      <x:c r="B129" s="26" t="str">
        <x:v>EQUIPMENT_FACT</x:v>
      </x:c>
      <x:c r="C129" s="26" t="str">
        <x:v>EQP-000044</x:v>
      </x:c>
      <x:c r="D129" s="26" t="str">
        <x:v>SRC-000004</x:v>
      </x:c>
      <x:c r="E129" s="26" t="str">
        <x:v>equipment table</x:v>
      </x:c>
      <x:c r="F129" s="26" t="str">
        <x:v>MANUAL</x:v>
      </x:c>
      <x:c r="G129" s="26" t="str">
        <x:v>UNVERIFIED</x:v>
      </x:c>
      <x:c r="H129" s="26" t="str">
        <x:v>UNCERTAIN</x:v>
      </x:c>
      <x:c r="I129" s="36" t="str"/>
      <x:c r="J129" s="26" t="str">
        <x:v>ChatGPT/web research</x:v>
      </x:c>
      <x:c r="K129" s="26" t="str">
        <x:v>Terminology/applicability unresolved.</x:v>
      </x:c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 t="str">
        <x:v>AST-000129</x:v>
      </x:c>
      <x:c r="B130" s="26" t="str">
        <x:v>EQUIPMENT_FACT</x:v>
      </x:c>
      <x:c r="C130" s="26" t="str">
        <x:v>EQP-000045</x:v>
      </x:c>
      <x:c r="D130" s="26" t="str">
        <x:v>SRC-000015</x:v>
      </x:c>
      <x:c r="E130" s="26" t="str">
        <x:v>equipment p.1–3</x:v>
      </x:c>
      <x:c r="F130" s="26" t="str">
        <x:v>MANUAL</x:v>
      </x:c>
      <x:c r="G130" s="26" t="str">
        <x:v>VERIFIED</x:v>
      </x:c>
      <x:c r="H130" s="26" t="str">
        <x:v>EXACT</x:v>
      </x:c>
      <x:c r="I130" s="36" t="n">
        <x:v>46248</x:v>
      </x:c>
      <x:c r="J130" s="26" t="str">
        <x:v>ChatGPT/web research</x:v>
      </x:c>
      <x:c r="K130" s="26" t="str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 t="str">
        <x:v>AST-000130</x:v>
      </x:c>
      <x:c r="B131" s="26" t="str">
        <x:v>EQUIPMENT_FACT</x:v>
      </x:c>
      <x:c r="C131" s="26" t="str">
        <x:v>EQP-000046</x:v>
      </x:c>
      <x:c r="D131" s="26" t="str">
        <x:v>SRC-000015</x:v>
      </x:c>
      <x:c r="E131" s="26" t="str">
        <x:v>equipment p.1–3</x:v>
      </x:c>
      <x:c r="F131" s="26" t="str">
        <x:v>MANUAL</x:v>
      </x:c>
      <x:c r="G131" s="26" t="str">
        <x:v>VERIFIED</x:v>
      </x:c>
      <x:c r="H131" s="26" t="str">
        <x:v>EXACT</x:v>
      </x:c>
      <x:c r="I131" s="36" t="n">
        <x:v>46248</x:v>
      </x:c>
      <x:c r="J131" s="26" t="str">
        <x:v>ChatGPT/web research</x:v>
      </x:c>
      <x:c r="K131" s="26" t="str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 t="str">
        <x:v>AST-000131</x:v>
      </x:c>
      <x:c r="B132" s="26" t="str">
        <x:v>EQUIPMENT_FACT</x:v>
      </x:c>
      <x:c r="C132" s="26" t="str">
        <x:v>EQP-000047</x:v>
      </x:c>
      <x:c r="D132" s="26" t="str">
        <x:v>SRC-000015</x:v>
      </x:c>
      <x:c r="E132" s="26" t="str">
        <x:v>equipment p.1–3</x:v>
      </x:c>
      <x:c r="F132" s="26" t="str">
        <x:v>MANUAL</x:v>
      </x:c>
      <x:c r="G132" s="26" t="str">
        <x:v>VERIFIED</x:v>
      </x:c>
      <x:c r="H132" s="26" t="str">
        <x:v>EXACT</x:v>
      </x:c>
      <x:c r="I132" s="36" t="n">
        <x:v>46248</x:v>
      </x:c>
      <x:c r="J132" s="26" t="str">
        <x:v>ChatGPT/web research</x:v>
      </x:c>
      <x:c r="K132" s="26" t="str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 t="str">
        <x:v>AST-000132</x:v>
      </x:c>
      <x:c r="B133" s="26" t="str">
        <x:v>EQUIPMENT_FACT</x:v>
      </x:c>
      <x:c r="C133" s="26" t="str">
        <x:v>EQP-000048</x:v>
      </x:c>
      <x:c r="D133" s="26" t="str">
        <x:v>SRC-000015</x:v>
      </x:c>
      <x:c r="E133" s="26" t="str">
        <x:v>equipment p.1–3</x:v>
      </x:c>
      <x:c r="F133" s="26" t="str">
        <x:v>MANUAL</x:v>
      </x:c>
      <x:c r="G133" s="26" t="str">
        <x:v>VERIFIED</x:v>
      </x:c>
      <x:c r="H133" s="26" t="str">
        <x:v>EXACT</x:v>
      </x:c>
      <x:c r="I133" s="36" t="n">
        <x:v>46248</x:v>
      </x:c>
      <x:c r="J133" s="26" t="str">
        <x:v>ChatGPT/web research</x:v>
      </x:c>
      <x:c r="K133" s="26" t="str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 t="str">
        <x:v>AST-000133</x:v>
      </x:c>
      <x:c r="B134" s="26" t="str">
        <x:v>EQUIPMENT_FACT</x:v>
      </x:c>
      <x:c r="C134" s="26" t="str">
        <x:v>EQP-000049</x:v>
      </x:c>
      <x:c r="D134" s="26" t="str">
        <x:v>SRC-000015</x:v>
      </x:c>
      <x:c r="E134" s="26" t="str">
        <x:v>equipment p.1–3</x:v>
      </x:c>
      <x:c r="F134" s="26" t="str">
        <x:v>MANUAL</x:v>
      </x:c>
      <x:c r="G134" s="26" t="str">
        <x:v>VERIFIED</x:v>
      </x:c>
      <x:c r="H134" s="26" t="str">
        <x:v>EXACT</x:v>
      </x:c>
      <x:c r="I134" s="36" t="n">
        <x:v>46248</x:v>
      </x:c>
      <x:c r="J134" s="26" t="str">
        <x:v>ChatGPT/web research</x:v>
      </x:c>
      <x:c r="K134" s="26" t="str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 t="str">
        <x:v>AST-000134</x:v>
      </x:c>
      <x:c r="B135" s="26" t="str">
        <x:v>EQUIPMENT_FACT</x:v>
      </x:c>
      <x:c r="C135" s="26" t="str">
        <x:v>EQP-000050</x:v>
      </x:c>
      <x:c r="D135" s="26" t="str">
        <x:v>SRC-000015</x:v>
      </x:c>
      <x:c r="E135" s="26" t="str">
        <x:v>equipment p.1–3</x:v>
      </x:c>
      <x:c r="F135" s="26" t="str">
        <x:v>MANUAL</x:v>
      </x:c>
      <x:c r="G135" s="26" t="str">
        <x:v>VERIFIED</x:v>
      </x:c>
      <x:c r="H135" s="26" t="str">
        <x:v>EXACT</x:v>
      </x:c>
      <x:c r="I135" s="36" t="n">
        <x:v>46248</x:v>
      </x:c>
      <x:c r="J135" s="26" t="str">
        <x:v>ChatGPT/web research</x:v>
      </x:c>
      <x:c r="K135" s="26" t="str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 t="str">
        <x:v>AST-000135</x:v>
      </x:c>
      <x:c r="B136" s="26" t="str">
        <x:v>EQUIPMENT_FACT</x:v>
      </x:c>
      <x:c r="C136" s="26" t="str">
        <x:v>EQP-000051</x:v>
      </x:c>
      <x:c r="D136" s="26" t="str">
        <x:v>SRC-000015</x:v>
      </x:c>
      <x:c r="E136" s="26" t="str">
        <x:v>equipment p.1–3</x:v>
      </x:c>
      <x:c r="F136" s="26" t="str">
        <x:v>MANUAL</x:v>
      </x:c>
      <x:c r="G136" s="26" t="str">
        <x:v>VERIFIED</x:v>
      </x:c>
      <x:c r="H136" s="26" t="str">
        <x:v>EXACT</x:v>
      </x:c>
      <x:c r="I136" s="36" t="n">
        <x:v>46248</x:v>
      </x:c>
      <x:c r="J136" s="26" t="str">
        <x:v>ChatGPT/web research</x:v>
      </x:c>
      <x:c r="K136" s="26" t="str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 t="str">
        <x:v>AST-000136</x:v>
      </x:c>
      <x:c r="B137" s="26" t="str">
        <x:v>EQUIPMENT_FACT</x:v>
      </x:c>
      <x:c r="C137" s="26" t="str">
        <x:v>EQP-000052</x:v>
      </x:c>
      <x:c r="D137" s="26" t="str">
        <x:v>SRC-000015</x:v>
      </x:c>
      <x:c r="E137" s="26" t="str">
        <x:v>equipment p.1–3</x:v>
      </x:c>
      <x:c r="F137" s="26" t="str">
        <x:v>MANUAL</x:v>
      </x:c>
      <x:c r="G137" s="26" t="str">
        <x:v>VERIFIED</x:v>
      </x:c>
      <x:c r="H137" s="26" t="str">
        <x:v>EXACT</x:v>
      </x:c>
      <x:c r="I137" s="36" t="n">
        <x:v>46248</x:v>
      </x:c>
      <x:c r="J137" s="26" t="str">
        <x:v>ChatGPT/web research</x:v>
      </x:c>
      <x:c r="K137" s="26" t="str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 t="str">
        <x:v>AST-000137</x:v>
      </x:c>
      <x:c r="B138" s="26" t="str">
        <x:v>EQUIPMENT_FACT</x:v>
      </x:c>
      <x:c r="C138" s="26" t="str">
        <x:v>EQP-000053</x:v>
      </x:c>
      <x:c r="D138" s="26" t="str">
        <x:v>SRC-000015</x:v>
      </x:c>
      <x:c r="E138" s="26" t="str">
        <x:v>equipment p.1–3</x:v>
      </x:c>
      <x:c r="F138" s="26" t="str">
        <x:v>MANUAL</x:v>
      </x:c>
      <x:c r="G138" s="26" t="str">
        <x:v>VERIFIED</x:v>
      </x:c>
      <x:c r="H138" s="26" t="str">
        <x:v>EXACT</x:v>
      </x:c>
      <x:c r="I138" s="36" t="n">
        <x:v>46248</x:v>
      </x:c>
      <x:c r="J138" s="26" t="str">
        <x:v>ChatGPT/web research</x:v>
      </x:c>
      <x:c r="K138" s="26" t="str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 t="str">
        <x:v>AST-000138</x:v>
      </x:c>
      <x:c r="B139" s="26" t="str">
        <x:v>EQUIPMENT_FACT</x:v>
      </x:c>
      <x:c r="C139" s="26" t="str">
        <x:v>EQP-000054</x:v>
      </x:c>
      <x:c r="D139" s="26" t="str">
        <x:v>SRC-000015</x:v>
      </x:c>
      <x:c r="E139" s="26" t="str">
        <x:v>equipment p.1–3</x:v>
      </x:c>
      <x:c r="F139" s="26" t="str">
        <x:v>MANUAL</x:v>
      </x:c>
      <x:c r="G139" s="26" t="str">
        <x:v>VERIFIED</x:v>
      </x:c>
      <x:c r="H139" s="26" t="str">
        <x:v>EXACT</x:v>
      </x:c>
      <x:c r="I139" s="36" t="n">
        <x:v>46248</x:v>
      </x:c>
      <x:c r="J139" s="26" t="str">
        <x:v>ChatGPT/web research</x:v>
      </x:c>
      <x:c r="K139" s="26" t="str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 t="str">
        <x:v>AST-000139</x:v>
      </x:c>
      <x:c r="B140" s="26" t="str">
        <x:v>EQUIPMENT_FACT</x:v>
      </x:c>
      <x:c r="C140" s="26" t="str">
        <x:v>EQP-000055</x:v>
      </x:c>
      <x:c r="D140" s="26" t="str">
        <x:v>SRC-000015</x:v>
      </x:c>
      <x:c r="E140" s="26" t="str">
        <x:v>equipment p.1–3</x:v>
      </x:c>
      <x:c r="F140" s="26" t="str">
        <x:v>MANUAL</x:v>
      </x:c>
      <x:c r="G140" s="26" t="str">
        <x:v>VERIFIED</x:v>
      </x:c>
      <x:c r="H140" s="26" t="str">
        <x:v>EXACT</x:v>
      </x:c>
      <x:c r="I140" s="36" t="n">
        <x:v>46248</x:v>
      </x:c>
      <x:c r="J140" s="26" t="str">
        <x:v>ChatGPT/web research</x:v>
      </x:c>
      <x:c r="K140" s="26" t="str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 t="str">
        <x:v>AST-000140</x:v>
      </x:c>
      <x:c r="B141" s="26" t="str">
        <x:v>EQUIPMENT_FACT</x:v>
      </x:c>
      <x:c r="C141" s="26" t="str">
        <x:v>EQP-000056</x:v>
      </x:c>
      <x:c r="D141" s="26" t="str">
        <x:v>SRC-000015</x:v>
      </x:c>
      <x:c r="E141" s="26" t="str">
        <x:v>equipment p.1–3</x:v>
      </x:c>
      <x:c r="F141" s="26" t="str">
        <x:v>MANUAL</x:v>
      </x:c>
      <x:c r="G141" s="26" t="str">
        <x:v>VERIFIED</x:v>
      </x:c>
      <x:c r="H141" s="26" t="str">
        <x:v>EXACT</x:v>
      </x:c>
      <x:c r="I141" s="36" t="n">
        <x:v>46248</x:v>
      </x:c>
      <x:c r="J141" s="26" t="str">
        <x:v>ChatGPT/web research</x:v>
      </x:c>
      <x:c r="K141" s="26" t="str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 t="str">
        <x:v>AST-000141</x:v>
      </x:c>
      <x:c r="B142" s="26" t="str">
        <x:v>EQUIPMENT_FACT</x:v>
      </x:c>
      <x:c r="C142" s="26" t="str">
        <x:v>EQP-000057</x:v>
      </x:c>
      <x:c r="D142" s="26" t="str">
        <x:v>SRC-000015</x:v>
      </x:c>
      <x:c r="E142" s="26" t="str">
        <x:v>equipment p.1–3</x:v>
      </x:c>
      <x:c r="F142" s="26" t="str">
        <x:v>MANUAL</x:v>
      </x:c>
      <x:c r="G142" s="26" t="str">
        <x:v>VERIFIED</x:v>
      </x:c>
      <x:c r="H142" s="26" t="str">
        <x:v>EXACT</x:v>
      </x:c>
      <x:c r="I142" s="36" t="n">
        <x:v>46248</x:v>
      </x:c>
      <x:c r="J142" s="26" t="str">
        <x:v>ChatGPT/web research</x:v>
      </x:c>
      <x:c r="K142" s="26" t="str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 t="str">
        <x:v>AST-000142</x:v>
      </x:c>
      <x:c r="B143" s="26" t="str">
        <x:v>EQUIPMENT_FACT</x:v>
      </x:c>
      <x:c r="C143" s="26" t="str">
        <x:v>EQP-000058</x:v>
      </x:c>
      <x:c r="D143" s="26" t="str">
        <x:v>SRC-000015</x:v>
      </x:c>
      <x:c r="E143" s="26" t="str">
        <x:v>equipment p.1–3</x:v>
      </x:c>
      <x:c r="F143" s="26" t="str">
        <x:v>MANUAL</x:v>
      </x:c>
      <x:c r="G143" s="26" t="str">
        <x:v>VERIFIED</x:v>
      </x:c>
      <x:c r="H143" s="26" t="str">
        <x:v>EXACT</x:v>
      </x:c>
      <x:c r="I143" s="36" t="n">
        <x:v>46248</x:v>
      </x:c>
      <x:c r="J143" s="26" t="str">
        <x:v>ChatGPT/web research</x:v>
      </x:c>
      <x:c r="K143" s="26" t="str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 t="str">
        <x:v>AST-000143</x:v>
      </x:c>
      <x:c r="B144" s="26" t="str">
        <x:v>EQUIPMENT_FACT</x:v>
      </x:c>
      <x:c r="C144" s="26" t="str">
        <x:v>EQP-000059</x:v>
      </x:c>
      <x:c r="D144" s="26" t="str">
        <x:v>SRC-000015</x:v>
      </x:c>
      <x:c r="E144" s="26" t="str">
        <x:v>equipment p.1–3</x:v>
      </x:c>
      <x:c r="F144" s="26" t="str">
        <x:v>MANUAL</x:v>
      </x:c>
      <x:c r="G144" s="26" t="str">
        <x:v>VERIFIED</x:v>
      </x:c>
      <x:c r="H144" s="26" t="str">
        <x:v>EXACT</x:v>
      </x:c>
      <x:c r="I144" s="36" t="n">
        <x:v>46248</x:v>
      </x:c>
      <x:c r="J144" s="26" t="str">
        <x:v>ChatGPT/web research</x:v>
      </x:c>
      <x:c r="K144" s="26" t="str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 t="str">
        <x:v>AST-000144</x:v>
      </x:c>
      <x:c r="B145" s="26" t="str">
        <x:v>EQUIPMENT_FACT</x:v>
      </x:c>
      <x:c r="C145" s="26" t="str">
        <x:v>EQP-000060</x:v>
      </x:c>
      <x:c r="D145" s="26" t="str">
        <x:v>SRC-000015</x:v>
      </x:c>
      <x:c r="E145" s="26" t="str">
        <x:v>equipment p.1–3</x:v>
      </x:c>
      <x:c r="F145" s="26" t="str">
        <x:v>MANUAL</x:v>
      </x:c>
      <x:c r="G145" s="26" t="str">
        <x:v>VERIFIED</x:v>
      </x:c>
      <x:c r="H145" s="26" t="str">
        <x:v>EXACT</x:v>
      </x:c>
      <x:c r="I145" s="36" t="n">
        <x:v>46248</x:v>
      </x:c>
      <x:c r="J145" s="26" t="str">
        <x:v>ChatGPT/web research</x:v>
      </x:c>
      <x:c r="K145" s="26" t="str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 t="str">
        <x:v>AST-000145</x:v>
      </x:c>
      <x:c r="B146" s="26" t="str">
        <x:v>EQUIPMENT_FACT</x:v>
      </x:c>
      <x:c r="C146" s="26" t="str">
        <x:v>EQP-000061</x:v>
      </x:c>
      <x:c r="D146" s="26" t="str">
        <x:v>SRC-000016</x:v>
      </x:c>
      <x:c r="E146" s="26" t="str">
        <x:v>Prestige trim hierarchy</x:v>
      </x:c>
      <x:c r="F146" s="26" t="str">
        <x:v>MANUAL</x:v>
      </x:c>
      <x:c r="G146" s="26" t="str">
        <x:v>VERIFIED</x:v>
      </x:c>
      <x:c r="H146" s="26" t="str">
        <x:v>EXACT</x:v>
      </x:c>
      <x:c r="I146" s="36" t="n">
        <x:v>46248</x:v>
      </x:c>
      <x:c r="J146" s="26" t="str">
        <x:v>ChatGPT/web research</x:v>
      </x:c>
      <x:c r="K146" s="26" t="str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 t="str">
        <x:v>AST-000146</x:v>
      </x:c>
      <x:c r="B147" s="26" t="str">
        <x:v>EQUIPMENT_FACT</x:v>
      </x:c>
      <x:c r="C147" s="26" t="str">
        <x:v>EQP-000062</x:v>
      </x:c>
      <x:c r="D147" s="26" t="str">
        <x:v>SRC-000016</x:v>
      </x:c>
      <x:c r="E147" s="26" t="str">
        <x:v>Prestige trim hierarchy</x:v>
      </x:c>
      <x:c r="F147" s="26" t="str">
        <x:v>MANUAL</x:v>
      </x:c>
      <x:c r="G147" s="26" t="str">
        <x:v>VERIFIED</x:v>
      </x:c>
      <x:c r="H147" s="26" t="str">
        <x:v>EXACT</x:v>
      </x:c>
      <x:c r="I147" s="36" t="n">
        <x:v>46248</x:v>
      </x:c>
      <x:c r="J147" s="26" t="str">
        <x:v>ChatGPT/web research</x:v>
      </x:c>
      <x:c r="K147" s="26" t="str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 t="str">
        <x:v>AST-000147</x:v>
      </x:c>
      <x:c r="B148" s="26" t="str">
        <x:v>EQUIPMENT_FACT</x:v>
      </x:c>
      <x:c r="C148" s="26" t="str">
        <x:v>EQP-000063</x:v>
      </x:c>
      <x:c r="D148" s="26" t="str">
        <x:v>SRC-000016</x:v>
      </x:c>
      <x:c r="E148" s="26" t="str">
        <x:v>Prestige trim hierarchy</x:v>
      </x:c>
      <x:c r="F148" s="26" t="str">
        <x:v>MANUAL</x:v>
      </x:c>
      <x:c r="G148" s="26" t="str">
        <x:v>VERIFIED</x:v>
      </x:c>
      <x:c r="H148" s="26" t="str">
        <x:v>EXACT</x:v>
      </x:c>
      <x:c r="I148" s="36" t="n">
        <x:v>46248</x:v>
      </x:c>
      <x:c r="J148" s="26" t="str">
        <x:v>ChatGPT/web research</x:v>
      </x:c>
      <x:c r="K148" s="26" t="str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 t="str">
        <x:v>AST-000148</x:v>
      </x:c>
      <x:c r="B149" s="26" t="str">
        <x:v>EQUIPMENT_FACT</x:v>
      </x:c>
      <x:c r="C149" s="26" t="str">
        <x:v>EQP-000064</x:v>
      </x:c>
      <x:c r="D149" s="26" t="str">
        <x:v>SRC-000016</x:v>
      </x:c>
      <x:c r="E149" s="26" t="str">
        <x:v>Prestige trim hierarchy</x:v>
      </x:c>
      <x:c r="F149" s="26" t="str">
        <x:v>MANUAL</x:v>
      </x:c>
      <x:c r="G149" s="26" t="str">
        <x:v>VERIFIED</x:v>
      </x:c>
      <x:c r="H149" s="26" t="str">
        <x:v>EXACT</x:v>
      </x:c>
      <x:c r="I149" s="36" t="n">
        <x:v>46248</x:v>
      </x:c>
      <x:c r="J149" s="26" t="str">
        <x:v>ChatGPT/web research</x:v>
      </x:c>
      <x:c r="K149" s="26" t="str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 t="str">
        <x:v>AST-000149</x:v>
      </x:c>
      <x:c r="B150" s="26" t="str">
        <x:v>EQUIPMENT_FACT</x:v>
      </x:c>
      <x:c r="C150" s="26" t="str">
        <x:v>EQP-000065</x:v>
      </x:c>
      <x:c r="D150" s="26" t="str">
        <x:v>SRC-000016</x:v>
      </x:c>
      <x:c r="E150" s="26" t="str">
        <x:v>Prestige trim hierarchy</x:v>
      </x:c>
      <x:c r="F150" s="26" t="str">
        <x:v>MANUAL</x:v>
      </x:c>
      <x:c r="G150" s="26" t="str">
        <x:v>VERIFIED</x:v>
      </x:c>
      <x:c r="H150" s="26" t="str">
        <x:v>EXACT</x:v>
      </x:c>
      <x:c r="I150" s="36" t="n">
        <x:v>46248</x:v>
      </x:c>
      <x:c r="J150" s="26" t="str">
        <x:v>ChatGPT/web research</x:v>
      </x:c>
      <x:c r="K150" s="26" t="str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 t="str">
        <x:v>AST-000150</x:v>
      </x:c>
      <x:c r="B151" s="26" t="str">
        <x:v>EQUIPMENT_FACT</x:v>
      </x:c>
      <x:c r="C151" s="26" t="str">
        <x:v>EQP-000066</x:v>
      </x:c>
      <x:c r="D151" s="26" t="str">
        <x:v>SRC-000016</x:v>
      </x:c>
      <x:c r="E151" s="26" t="str">
        <x:v>Prestige trim hierarchy</x:v>
      </x:c>
      <x:c r="F151" s="26" t="str">
        <x:v>MANUAL</x:v>
      </x:c>
      <x:c r="G151" s="26" t="str">
        <x:v>VERIFIED</x:v>
      </x:c>
      <x:c r="H151" s="26" t="str">
        <x:v>EXACT</x:v>
      </x:c>
      <x:c r="I151" s="36" t="n">
        <x:v>46248</x:v>
      </x:c>
      <x:c r="J151" s="26" t="str">
        <x:v>ChatGPT/web research</x:v>
      </x:c>
      <x:c r="K151" s="26" t="str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 t="str">
        <x:v>AST-000151</x:v>
      </x:c>
      <x:c r="B152" s="26" t="str">
        <x:v>EQUIPMENT_FACT</x:v>
      </x:c>
      <x:c r="C152" s="26" t="str">
        <x:v>EQP-000067</x:v>
      </x:c>
      <x:c r="D152" s="26" t="str">
        <x:v>SRC-000016</x:v>
      </x:c>
      <x:c r="E152" s="26" t="str">
        <x:v>Prestige trim hierarchy</x:v>
      </x:c>
      <x:c r="F152" s="26" t="str">
        <x:v>MANUAL</x:v>
      </x:c>
      <x:c r="G152" s="26" t="str">
        <x:v>VERIFIED</x:v>
      </x:c>
      <x:c r="H152" s="26" t="str">
        <x:v>EXACT</x:v>
      </x:c>
      <x:c r="I152" s="36" t="n">
        <x:v>46248</x:v>
      </x:c>
      <x:c r="J152" s="26" t="str">
        <x:v>ChatGPT/web research</x:v>
      </x:c>
      <x:c r="K152" s="26" t="str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 t="str">
        <x:v>AST-000152</x:v>
      </x:c>
      <x:c r="B153" s="26" t="str">
        <x:v>EQUIPMENT_FACT</x:v>
      </x:c>
      <x:c r="C153" s="26" t="str">
        <x:v>EQP-000068</x:v>
      </x:c>
      <x:c r="D153" s="26" t="str">
        <x:v>SRC-000016</x:v>
      </x:c>
      <x:c r="E153" s="26" t="str">
        <x:v>Prestige trim hierarchy</x:v>
      </x:c>
      <x:c r="F153" s="26" t="str">
        <x:v>MANUAL</x:v>
      </x:c>
      <x:c r="G153" s="26" t="str">
        <x:v>VERIFIED</x:v>
      </x:c>
      <x:c r="H153" s="26" t="str">
        <x:v>EXACT</x:v>
      </x:c>
      <x:c r="I153" s="36" t="n">
        <x:v>46248</x:v>
      </x:c>
      <x:c r="J153" s="26" t="str">
        <x:v>ChatGPT/web research</x:v>
      </x:c>
      <x:c r="K153" s="26" t="str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 t="str">
        <x:v>AST-000153</x:v>
      </x:c>
      <x:c r="B154" s="26" t="str">
        <x:v>EQUIPMENT_FACT</x:v>
      </x:c>
      <x:c r="C154" s="26" t="str">
        <x:v>EQP-000069</x:v>
      </x:c>
      <x:c r="D154" s="26" t="str">
        <x:v>SRC-000016</x:v>
      </x:c>
      <x:c r="E154" s="26" t="str">
        <x:v>Prestige trim hierarchy</x:v>
      </x:c>
      <x:c r="F154" s="26" t="str">
        <x:v>MANUAL</x:v>
      </x:c>
      <x:c r="G154" s="26" t="str">
        <x:v>VERIFIED</x:v>
      </x:c>
      <x:c r="H154" s="26" t="str">
        <x:v>EXACT</x:v>
      </x:c>
      <x:c r="I154" s="36" t="n">
        <x:v>46248</x:v>
      </x:c>
      <x:c r="J154" s="26" t="str">
        <x:v>ChatGPT/web research</x:v>
      </x:c>
      <x:c r="K154" s="26" t="str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 t="str">
        <x:v>AST-000154</x:v>
      </x:c>
      <x:c r="B155" s="26" t="str">
        <x:v>EQUIPMENT_FACT</x:v>
      </x:c>
      <x:c r="C155" s="26" t="str">
        <x:v>EQP-000070</x:v>
      </x:c>
      <x:c r="D155" s="26" t="str">
        <x:v>SRC-000016</x:v>
      </x:c>
      <x:c r="E155" s="26" t="str">
        <x:v>Prestige trim hierarchy</x:v>
      </x:c>
      <x:c r="F155" s="26" t="str">
        <x:v>MANUAL</x:v>
      </x:c>
      <x:c r="G155" s="26" t="str">
        <x:v>VERIFIED</x:v>
      </x:c>
      <x:c r="H155" s="26" t="str">
        <x:v>EXACT</x:v>
      </x:c>
      <x:c r="I155" s="36" t="n">
        <x:v>46248</x:v>
      </x:c>
      <x:c r="J155" s="26" t="str">
        <x:v>ChatGPT/web research</x:v>
      </x:c>
      <x:c r="K155" s="26" t="str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 t="str">
        <x:v>AST-000155</x:v>
      </x:c>
      <x:c r="B156" s="26" t="str">
        <x:v>EQUIPMENT_FACT</x:v>
      </x:c>
      <x:c r="C156" s="26" t="str">
        <x:v>EQP-000071</x:v>
      </x:c>
      <x:c r="D156" s="26" t="str">
        <x:v>SRC-000016</x:v>
      </x:c>
      <x:c r="E156" s="26" t="str">
        <x:v>feature page</x:v>
      </x:c>
      <x:c r="F156" s="26" t="str">
        <x:v>MANUAL</x:v>
      </x:c>
      <x:c r="G156" s="26" t="str">
        <x:v>UNVERIFIED</x:v>
      </x:c>
      <x:c r="H156" s="26" t="str">
        <x:v>UNCERTAIN</x:v>
      </x:c>
      <x:c r="I156" s="36" t="str"/>
      <x:c r="J156" s="26" t="str">
        <x:v>ChatGPT/web research</x:v>
      </x:c>
      <x:c r="K156" s="26" t="str">
        <x:v>Not explicitly resolved in this pass.</x:v>
      </x:c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 t="str">
        <x:v>AST-000156</x:v>
      </x:c>
      <x:c r="B157" s="26" t="str">
        <x:v>EQUIPMENT_FACT</x:v>
      </x:c>
      <x:c r="C157" s="26" t="str">
        <x:v>EQP-000072</x:v>
      </x:c>
      <x:c r="D157" s="26" t="str">
        <x:v>SRC-000016</x:v>
      </x:c>
      <x:c r="E157" s="26" t="str">
        <x:v>feature page</x:v>
      </x:c>
      <x:c r="F157" s="26" t="str">
        <x:v>MANUAL</x:v>
      </x:c>
      <x:c r="G157" s="26" t="str">
        <x:v>UNVERIFIED</x:v>
      </x:c>
      <x:c r="H157" s="26" t="str">
        <x:v>UNCERTAIN</x:v>
      </x:c>
      <x:c r="I157" s="36" t="str"/>
      <x:c r="J157" s="26" t="str">
        <x:v>ChatGPT/web research</x:v>
      </x:c>
      <x:c r="K157" s="26" t="str">
        <x:v>Not explicitly resolved in this pass.</x:v>
      </x:c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 t="str">
        <x:v>AST-000157</x:v>
      </x:c>
      <x:c r="B158" s="26" t="str">
        <x:v>EQUIPMENT_FACT</x:v>
      </x:c>
      <x:c r="C158" s="26" t="str">
        <x:v>EQP-000073</x:v>
      </x:c>
      <x:c r="D158" s="26" t="str">
        <x:v>SRC-000016</x:v>
      </x:c>
      <x:c r="E158" s="26" t="str">
        <x:v>feature page</x:v>
      </x:c>
      <x:c r="F158" s="26" t="str">
        <x:v>MANUAL</x:v>
      </x:c>
      <x:c r="G158" s="26" t="str">
        <x:v>UNVERIFIED</x:v>
      </x:c>
      <x:c r="H158" s="26" t="str">
        <x:v>UNCERTAIN</x:v>
      </x:c>
      <x:c r="I158" s="36" t="str"/>
      <x:c r="J158" s="26" t="str">
        <x:v>ChatGPT/web research</x:v>
      </x:c>
      <x:c r="K158" s="26" t="str">
        <x:v>Not explicitly resolved in this pass.</x:v>
      </x:c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 t="str">
        <x:v>AST-000158</x:v>
      </x:c>
      <x:c r="B159" s="26" t="str">
        <x:v>EQUIPMENT_FACT</x:v>
      </x:c>
      <x:c r="C159" s="26" t="str">
        <x:v>EQP-000074</x:v>
      </x:c>
      <x:c r="D159" s="26" t="str">
        <x:v>SRC-000016</x:v>
      </x:c>
      <x:c r="E159" s="26" t="str">
        <x:v>feature page</x:v>
      </x:c>
      <x:c r="F159" s="26" t="str">
        <x:v>MANUAL</x:v>
      </x:c>
      <x:c r="G159" s="26" t="str">
        <x:v>UNVERIFIED</x:v>
      </x:c>
      <x:c r="H159" s="26" t="str">
        <x:v>UNCERTAIN</x:v>
      </x:c>
      <x:c r="I159" s="36" t="str"/>
      <x:c r="J159" s="26" t="str">
        <x:v>ChatGPT/web research</x:v>
      </x:c>
      <x:c r="K159" s="26" t="str">
        <x:v>Not explicitly resolved in this pass.</x:v>
      </x:c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 t="str">
        <x:v>AST-000159</x:v>
      </x:c>
      <x:c r="B160" s="26" t="str">
        <x:v>EQUIPMENT_FACT</x:v>
      </x:c>
      <x:c r="C160" s="26" t="str">
        <x:v>EQP-000075</x:v>
      </x:c>
      <x:c r="D160" s="26" t="str">
        <x:v>SRC-000008</x:v>
      </x:c>
      <x:c r="E160" s="26" t="str">
        <x:v>unresolved trim</x:v>
      </x:c>
      <x:c r="F160" s="26" t="str">
        <x:v>MANUAL</x:v>
      </x:c>
      <x:c r="G160" s="26" t="str">
        <x:v>UNVERIFIED</x:v>
      </x:c>
      <x:c r="H160" s="26" t="str">
        <x:v>UNCERTAIN</x:v>
      </x:c>
      <x:c r="I160" s="36" t="str"/>
      <x:c r="J160" s="26" t="str">
        <x:v>ChatGPT/web research</x:v>
      </x:c>
      <x:c r="K160" s="26" t="str">
        <x:v>Configuration identity unresolved.</x:v>
      </x:c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 t="str">
        <x:v>AST-000160</x:v>
      </x:c>
      <x:c r="B161" s="26" t="str">
        <x:v>EQUIPMENT_FACT</x:v>
      </x:c>
      <x:c r="C161" s="26" t="str">
        <x:v>EQP-000076</x:v>
      </x:c>
      <x:c r="D161" s="26" t="str">
        <x:v>SRC-000008</x:v>
      </x:c>
      <x:c r="E161" s="26" t="str">
        <x:v>unresolved trim</x:v>
      </x:c>
      <x:c r="F161" s="26" t="str">
        <x:v>MANUAL</x:v>
      </x:c>
      <x:c r="G161" s="26" t="str">
        <x:v>UNVERIFIED</x:v>
      </x:c>
      <x:c r="H161" s="26" t="str">
        <x:v>UNCERTAIN</x:v>
      </x:c>
      <x:c r="I161" s="36" t="str"/>
      <x:c r="J161" s="26" t="str">
        <x:v>ChatGPT/web research</x:v>
      </x:c>
      <x:c r="K161" s="26" t="str">
        <x:v>Configuration identity unresolved.</x:v>
      </x:c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 t="str">
        <x:v>AST-000161</x:v>
      </x:c>
      <x:c r="B162" s="26" t="str">
        <x:v>EQUIPMENT_FACT</x:v>
      </x:c>
      <x:c r="C162" s="26" t="str">
        <x:v>EQP-000077</x:v>
      </x:c>
      <x:c r="D162" s="26" t="str">
        <x:v>SRC-000008</x:v>
      </x:c>
      <x:c r="E162" s="26" t="str">
        <x:v>unresolved trim</x:v>
      </x:c>
      <x:c r="F162" s="26" t="str">
        <x:v>MANUAL</x:v>
      </x:c>
      <x:c r="G162" s="26" t="str">
        <x:v>UNVERIFIED</x:v>
      </x:c>
      <x:c r="H162" s="26" t="str">
        <x:v>UNCERTAIN</x:v>
      </x:c>
      <x:c r="I162" s="36" t="str"/>
      <x:c r="J162" s="26" t="str">
        <x:v>ChatGPT/web research</x:v>
      </x:c>
      <x:c r="K162" s="26" t="str">
        <x:v>Configuration identity unresolved.</x:v>
      </x:c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 t="str">
        <x:v>AST-000162</x:v>
      </x:c>
      <x:c r="B163" s="26" t="str">
        <x:v>EQUIPMENT_FACT</x:v>
      </x:c>
      <x:c r="C163" s="26" t="str">
        <x:v>EQP-000078</x:v>
      </x:c>
      <x:c r="D163" s="26" t="str">
        <x:v>SRC-000008</x:v>
      </x:c>
      <x:c r="E163" s="26" t="str">
        <x:v>unresolved trim</x:v>
      </x:c>
      <x:c r="F163" s="26" t="str">
        <x:v>MANUAL</x:v>
      </x:c>
      <x:c r="G163" s="26" t="str">
        <x:v>UNVERIFIED</x:v>
      </x:c>
      <x:c r="H163" s="26" t="str">
        <x:v>UNCERTAIN</x:v>
      </x:c>
      <x:c r="I163" s="36" t="str"/>
      <x:c r="J163" s="26" t="str">
        <x:v>ChatGPT/web research</x:v>
      </x:c>
      <x:c r="K163" s="26" t="str">
        <x:v>Configuration identity unresolved.</x:v>
      </x:c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 t="str">
        <x:v>AST-000163</x:v>
      </x:c>
      <x:c r="B164" s="26" t="str">
        <x:v>EQUIPMENT_FACT</x:v>
      </x:c>
      <x:c r="C164" s="26" t="str">
        <x:v>EQP-000079</x:v>
      </x:c>
      <x:c r="D164" s="26" t="str">
        <x:v>SRC-000008</x:v>
      </x:c>
      <x:c r="E164" s="26" t="str">
        <x:v>unresolved trim</x:v>
      </x:c>
      <x:c r="F164" s="26" t="str">
        <x:v>MANUAL</x:v>
      </x:c>
      <x:c r="G164" s="26" t="str">
        <x:v>UNVERIFIED</x:v>
      </x:c>
      <x:c r="H164" s="26" t="str">
        <x:v>UNCERTAIN</x:v>
      </x:c>
      <x:c r="I164" s="36" t="str"/>
      <x:c r="J164" s="26" t="str">
        <x:v>ChatGPT/web research</x:v>
      </x:c>
      <x:c r="K164" s="26" t="str">
        <x:v>Configuration identity unresolved.</x:v>
      </x:c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 t="str">
        <x:v>AST-000164</x:v>
      </x:c>
      <x:c r="B165" s="26" t="str">
        <x:v>EQUIPMENT_FACT</x:v>
      </x:c>
      <x:c r="C165" s="26" t="str">
        <x:v>EQP-000080</x:v>
      </x:c>
      <x:c r="D165" s="26" t="str">
        <x:v>SRC-000008</x:v>
      </x:c>
      <x:c r="E165" s="26" t="str">
        <x:v>unresolved trim</x:v>
      </x:c>
      <x:c r="F165" s="26" t="str">
        <x:v>MANUAL</x:v>
      </x:c>
      <x:c r="G165" s="26" t="str">
        <x:v>UNVERIFIED</x:v>
      </x:c>
      <x:c r="H165" s="26" t="str">
        <x:v>UNCERTAIN</x:v>
      </x:c>
      <x:c r="I165" s="36" t="str"/>
      <x:c r="J165" s="26" t="str">
        <x:v>ChatGPT/web research</x:v>
      </x:c>
      <x:c r="K165" s="26" t="str">
        <x:v>Configuration identity unresolved.</x:v>
      </x:c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 t="str">
        <x:v>AST-000165</x:v>
      </x:c>
      <x:c r="B166" s="26" t="str">
        <x:v>EQUIPMENT_FACT</x:v>
      </x:c>
      <x:c r="C166" s="26" t="str">
        <x:v>EQP-000081</x:v>
      </x:c>
      <x:c r="D166" s="26" t="str">
        <x:v>SRC-000008</x:v>
      </x:c>
      <x:c r="E166" s="26" t="str">
        <x:v>unresolved trim</x:v>
      </x:c>
      <x:c r="F166" s="26" t="str">
        <x:v>MANUAL</x:v>
      </x:c>
      <x:c r="G166" s="26" t="str">
        <x:v>UNVERIFIED</x:v>
      </x:c>
      <x:c r="H166" s="26" t="str">
        <x:v>UNCERTAIN</x:v>
      </x:c>
      <x:c r="I166" s="36" t="str"/>
      <x:c r="J166" s="26" t="str">
        <x:v>ChatGPT/web research</x:v>
      </x:c>
      <x:c r="K166" s="26" t="str">
        <x:v>Configuration identity unresolved.</x:v>
      </x:c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 t="str">
        <x:v>AST-000166</x:v>
      </x:c>
      <x:c r="B167" s="26" t="str">
        <x:v>EQUIPMENT_FACT</x:v>
      </x:c>
      <x:c r="C167" s="26" t="str">
        <x:v>EQP-000082</x:v>
      </x:c>
      <x:c r="D167" s="26" t="str">
        <x:v>SRC-000021</x:v>
      </x:c>
      <x:c r="E167" s="26" t="str">
        <x:v>Expression configurator</x:v>
      </x:c>
      <x:c r="F167" s="26" t="str">
        <x:v>MANUAL</x:v>
      </x:c>
      <x:c r="G167" s="26" t="str">
        <x:v>VERIFIED</x:v>
      </x:c>
      <x:c r="H167" s="26" t="str">
        <x:v>EXACT</x:v>
      </x:c>
      <x:c r="I167" s="36" t="n">
        <x:v>46248</x:v>
      </x:c>
      <x:c r="J167" s="26" t="str">
        <x:v>ChatGPT/web research</x:v>
      </x:c>
      <x:c r="K167" s="26" t="str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 t="str">
        <x:v>AST-000167</x:v>
      </x:c>
      <x:c r="B168" s="26" t="str">
        <x:v>EQUIPMENT_FACT</x:v>
      </x:c>
      <x:c r="C168" s="26" t="str">
        <x:v>EQP-000083</x:v>
      </x:c>
      <x:c r="D168" s="26" t="str">
        <x:v>SRC-000021</x:v>
      </x:c>
      <x:c r="E168" s="26" t="str">
        <x:v>Expression configurator</x:v>
      </x:c>
      <x:c r="F168" s="26" t="str">
        <x:v>MANUAL</x:v>
      </x:c>
      <x:c r="G168" s="26" t="str">
        <x:v>VERIFIED</x:v>
      </x:c>
      <x:c r="H168" s="26" t="str">
        <x:v>EXACT</x:v>
      </x:c>
      <x:c r="I168" s="36" t="n">
        <x:v>46248</x:v>
      </x:c>
      <x:c r="J168" s="26" t="str">
        <x:v>ChatGPT/web research</x:v>
      </x:c>
      <x:c r="K168" s="26" t="str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 t="str">
        <x:v>AST-000168</x:v>
      </x:c>
      <x:c r="B169" s="26" t="str">
        <x:v>EQUIPMENT_FACT</x:v>
      </x:c>
      <x:c r="C169" s="26" t="str">
        <x:v>EQP-000084</x:v>
      </x:c>
      <x:c r="D169" s="26" t="str">
        <x:v>SRC-000021</x:v>
      </x:c>
      <x:c r="E169" s="26" t="str">
        <x:v>Expression configurator</x:v>
      </x:c>
      <x:c r="F169" s="26" t="str">
        <x:v>MANUAL</x:v>
      </x:c>
      <x:c r="G169" s="26" t="str">
        <x:v>VERIFIED</x:v>
      </x:c>
      <x:c r="H169" s="26" t="str">
        <x:v>EXACT</x:v>
      </x:c>
      <x:c r="I169" s="36" t="n">
        <x:v>46248</x:v>
      </x:c>
      <x:c r="J169" s="26" t="str">
        <x:v>ChatGPT/web research</x:v>
      </x:c>
      <x:c r="K169" s="26" t="str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 t="str">
        <x:v>AST-000169</x:v>
      </x:c>
      <x:c r="B170" s="26" t="str">
        <x:v>EQUIPMENT_FACT</x:v>
      </x:c>
      <x:c r="C170" s="26" t="str">
        <x:v>EQP-000085</x:v>
      </x:c>
      <x:c r="D170" s="26" t="str">
        <x:v>SRC-000021</x:v>
      </x:c>
      <x:c r="E170" s="26" t="str">
        <x:v>Expression configurator</x:v>
      </x:c>
      <x:c r="F170" s="26" t="str">
        <x:v>MANUAL</x:v>
      </x:c>
      <x:c r="G170" s="26" t="str">
        <x:v>VERIFIED</x:v>
      </x:c>
      <x:c r="H170" s="26" t="str">
        <x:v>EXACT</x:v>
      </x:c>
      <x:c r="I170" s="36" t="n">
        <x:v>46248</x:v>
      </x:c>
      <x:c r="J170" s="26" t="str">
        <x:v>ChatGPT/web research</x:v>
      </x:c>
      <x:c r="K170" s="26" t="str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 t="str">
        <x:v>AST-000170</x:v>
      </x:c>
      <x:c r="B171" s="26" t="str">
        <x:v>EQUIPMENT_FACT</x:v>
      </x:c>
      <x:c r="C171" s="26" t="str">
        <x:v>EQP-000086</x:v>
      </x:c>
      <x:c r="D171" s="26" t="str">
        <x:v>SRC-000021</x:v>
      </x:c>
      <x:c r="E171" s="26" t="str">
        <x:v>Expression configurator</x:v>
      </x:c>
      <x:c r="F171" s="26" t="str">
        <x:v>MANUAL</x:v>
      </x:c>
      <x:c r="G171" s="26" t="str">
        <x:v>VERIFIED</x:v>
      </x:c>
      <x:c r="H171" s="26" t="str">
        <x:v>EXACT</x:v>
      </x:c>
      <x:c r="I171" s="36" t="n">
        <x:v>46248</x:v>
      </x:c>
      <x:c r="J171" s="26" t="str">
        <x:v>ChatGPT/web research</x:v>
      </x:c>
      <x:c r="K171" s="26" t="str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 t="str">
        <x:v>AST-000171</x:v>
      </x:c>
      <x:c r="B172" s="26" t="str">
        <x:v>EQUIPMENT_FACT</x:v>
      </x:c>
      <x:c r="C172" s="26" t="str">
        <x:v>EQP-000087</x:v>
      </x:c>
      <x:c r="D172" s="26" t="str">
        <x:v>SRC-000021</x:v>
      </x:c>
      <x:c r="E172" s="26" t="str">
        <x:v>Expression configurator</x:v>
      </x:c>
      <x:c r="F172" s="26" t="str">
        <x:v>MANUAL</x:v>
      </x:c>
      <x:c r="G172" s="26" t="str">
        <x:v>VERIFIED</x:v>
      </x:c>
      <x:c r="H172" s="26" t="str">
        <x:v>EXACT</x:v>
      </x:c>
      <x:c r="I172" s="36" t="n">
        <x:v>46248</x:v>
      </x:c>
      <x:c r="J172" s="26" t="str">
        <x:v>ChatGPT/web research</x:v>
      </x:c>
      <x:c r="K172" s="26" t="str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 t="str">
        <x:v>AST-000172</x:v>
      </x:c>
      <x:c r="B173" s="26" t="str">
        <x:v>EQUIPMENT_FACT</x:v>
      </x:c>
      <x:c r="C173" s="26" t="str">
        <x:v>EQP-000088</x:v>
      </x:c>
      <x:c r="D173" s="26" t="str">
        <x:v>SRC-000021</x:v>
      </x:c>
      <x:c r="E173" s="26" t="str">
        <x:v>Expression configurator</x:v>
      </x:c>
      <x:c r="F173" s="26" t="str">
        <x:v>MANUAL</x:v>
      </x:c>
      <x:c r="G173" s="26" t="str">
        <x:v>VERIFIED</x:v>
      </x:c>
      <x:c r="H173" s="26" t="str">
        <x:v>EXACT</x:v>
      </x:c>
      <x:c r="I173" s="36" t="n">
        <x:v>46248</x:v>
      </x:c>
      <x:c r="J173" s="26" t="str">
        <x:v>ChatGPT/web research</x:v>
      </x:c>
      <x:c r="K173" s="26" t="str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 t="str">
        <x:v>AST-000173</x:v>
      </x:c>
      <x:c r="B174" s="26" t="str">
        <x:v>EQUIPMENT_FACT</x:v>
      </x:c>
      <x:c r="C174" s="26" t="str">
        <x:v>EQP-000089</x:v>
      </x:c>
      <x:c r="D174" s="26" t="str">
        <x:v>SRC-000021</x:v>
      </x:c>
      <x:c r="E174" s="26" t="str">
        <x:v>Expression configurator</x:v>
      </x:c>
      <x:c r="F174" s="26" t="str">
        <x:v>MANUAL</x:v>
      </x:c>
      <x:c r="G174" s="26" t="str">
        <x:v>UNVERIFIED</x:v>
      </x:c>
      <x:c r="H174" s="26" t="str">
        <x:v>UNCERTAIN</x:v>
      </x:c>
      <x:c r="I174" s="36" t="str"/>
      <x:c r="J174" s="26" t="str">
        <x:v>ChatGPT/web research</x:v>
      </x:c>
      <x:c r="K174" s="26" t="str">
        <x:v>Basic cruise is not mapped to adaptive; remaining items unresolved.</x:v>
      </x:c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 t="str">
        <x:v>AST-000174</x:v>
      </x:c>
      <x:c r="B175" s="26" t="str">
        <x:v>EQUIPMENT_FACT</x:v>
      </x:c>
      <x:c r="C175" s="26" t="str">
        <x:v>EQP-000090</x:v>
      </x:c>
      <x:c r="D175" s="26" t="str">
        <x:v>SRC-000021</x:v>
      </x:c>
      <x:c r="E175" s="26" t="str">
        <x:v>Expression configurator</x:v>
      </x:c>
      <x:c r="F175" s="26" t="str">
        <x:v>MANUAL</x:v>
      </x:c>
      <x:c r="G175" s="26" t="str">
        <x:v>UNVERIFIED</x:v>
      </x:c>
      <x:c r="H175" s="26" t="str">
        <x:v>UNCERTAIN</x:v>
      </x:c>
      <x:c r="I175" s="36" t="str"/>
      <x:c r="J175" s="26" t="str">
        <x:v>ChatGPT/web research</x:v>
      </x:c>
      <x:c r="K175" s="26" t="str">
        <x:v>Basic cruise is not mapped to adaptive; remaining items unresolved.</x:v>
      </x:c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 t="str">
        <x:v>AST-000175</x:v>
      </x:c>
      <x:c r="B176" s="26" t="str">
        <x:v>EQUIPMENT_FACT</x:v>
      </x:c>
      <x:c r="C176" s="26" t="str">
        <x:v>EQP-000091</x:v>
      </x:c>
      <x:c r="D176" s="26" t="str">
        <x:v>SRC-000021</x:v>
      </x:c>
      <x:c r="E176" s="26" t="str">
        <x:v>Expression configurator</x:v>
      </x:c>
      <x:c r="F176" s="26" t="str">
        <x:v>MANUAL</x:v>
      </x:c>
      <x:c r="G176" s="26" t="str">
        <x:v>UNVERIFIED</x:v>
      </x:c>
      <x:c r="H176" s="26" t="str">
        <x:v>UNCERTAIN</x:v>
      </x:c>
      <x:c r="I176" s="36" t="str"/>
      <x:c r="J176" s="26" t="str">
        <x:v>ChatGPT/web research</x:v>
      </x:c>
      <x:c r="K176" s="26" t="str">
        <x:v>Basic cruise is not mapped to adaptive; remaining items unresolved.</x:v>
      </x:c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 t="str">
        <x:v>AST-000176</x:v>
      </x:c>
      <x:c r="B177" s="26" t="str">
        <x:v>EQUIPMENT_FACT</x:v>
      </x:c>
      <x:c r="C177" s="26" t="str">
        <x:v>EQP-000092</x:v>
      </x:c>
      <x:c r="D177" s="26" t="str">
        <x:v>SRC-000021</x:v>
      </x:c>
      <x:c r="E177" s="26" t="str">
        <x:v>Expression configurator</x:v>
      </x:c>
      <x:c r="F177" s="26" t="str">
        <x:v>MANUAL</x:v>
      </x:c>
      <x:c r="G177" s="26" t="str">
        <x:v>UNVERIFIED</x:v>
      </x:c>
      <x:c r="H177" s="26" t="str">
        <x:v>UNCERTAIN</x:v>
      </x:c>
      <x:c r="I177" s="36" t="str"/>
      <x:c r="J177" s="26" t="str">
        <x:v>ChatGPT/web research</x:v>
      </x:c>
      <x:c r="K177" s="26" t="str">
        <x:v>Basic cruise is not mapped to adaptive; remaining items unresolved.</x:v>
      </x:c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 t="str">
        <x:v>AST-000177</x:v>
      </x:c>
      <x:c r="B178" s="26" t="str">
        <x:v>EQUIPMENT_FACT</x:v>
      </x:c>
      <x:c r="C178" s="26" t="str">
        <x:v>EQP-000093</x:v>
      </x:c>
      <x:c r="D178" s="26" t="str">
        <x:v>SRC-000021</x:v>
      </x:c>
      <x:c r="E178" s="26" t="str">
        <x:v>Expression configurator</x:v>
      </x:c>
      <x:c r="F178" s="26" t="str">
        <x:v>MANUAL</x:v>
      </x:c>
      <x:c r="G178" s="26" t="str">
        <x:v>UNVERIFIED</x:v>
      </x:c>
      <x:c r="H178" s="26" t="str">
        <x:v>UNCERTAIN</x:v>
      </x:c>
      <x:c r="I178" s="36" t="str"/>
      <x:c r="J178" s="26" t="str">
        <x:v>ChatGPT/web research</x:v>
      </x:c>
      <x:c r="K178" s="26" t="str">
        <x:v>Basic cruise is not mapped to adaptive; remaining items unresolved.</x:v>
      </x:c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 t="str">
        <x:v>AST-000178</x:v>
      </x:c>
      <x:c r="B179" s="26" t="str">
        <x:v>TECHNICAL_FACT</x:v>
      </x:c>
      <x:c r="C179" s="26" t="str">
        <x:v>FAC-000085</x:v>
      </x:c>
      <x:c r="D179" s="26" t="str">
        <x:v>SRC-000026</x:v>
      </x:c>
      <x:c r="E179" s="26" t="str">
        <x:v>engine_displacement_cc</x:v>
      </x:c>
      <x:c r="F179" s="26" t="str">
        <x:v>MANUAL</x:v>
      </x:c>
      <x:c r="G179" s="26" t="str">
        <x:v>VERIFIED</x:v>
      </x:c>
      <x:c r="H179" s="26" t="str">
        <x:v>EXACT</x:v>
      </x:c>
      <x:c r="I179" s="36" t="n">
        <x:v>46248</x:v>
      </x:c>
      <x:c r="J179" s="26" t="str">
        <x:v>Codex/web research</x:v>
      </x:c>
      <x:c r="K179" s="26" t="str">
        <x:v>SCALE_BATCH_01 reviewer gate; official Turkey source.</x:v>
      </x:c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 t="str">
        <x:v>AST-000179</x:v>
      </x:c>
      <x:c r="B180" s="26" t="str">
        <x:v>TECHNICAL_FACT</x:v>
      </x:c>
      <x:c r="C180" s="26" t="str">
        <x:v>FAC-000086</x:v>
      </x:c>
      <x:c r="D180" s="26" t="str">
        <x:v>SRC-000026</x:v>
      </x:c>
      <x:c r="E180" s="26" t="str">
        <x:v>power_kw</x:v>
      </x:c>
      <x:c r="F180" s="26" t="str">
        <x:v>MANUAL</x:v>
      </x:c>
      <x:c r="G180" s="26" t="str">
        <x:v>VERIFIED</x:v>
      </x:c>
      <x:c r="H180" s="26" t="str">
        <x:v>EXACT</x:v>
      </x:c>
      <x:c r="I180" s="36" t="n">
        <x:v>46248</x:v>
      </x:c>
      <x:c r="J180" s="26" t="str">
        <x:v>Codex/web research</x:v>
      </x:c>
      <x:c r="K180" s="26" t="str">
        <x:v>SCALE_BATCH_01 reviewer gate; official Turkey source.</x:v>
      </x:c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 t="str">
        <x:v>AST-000180</x:v>
      </x:c>
      <x:c r="B181" s="26" t="str">
        <x:v>TECHNICAL_FACT</x:v>
      </x:c>
      <x:c r="C181" s="26" t="str">
        <x:v>FAC-000087</x:v>
      </x:c>
      <x:c r="D181" s="26" t="str">
        <x:v>SRC-000026</x:v>
      </x:c>
      <x:c r="E181" s="26" t="str">
        <x:v>torque_nm</x:v>
      </x:c>
      <x:c r="F181" s="26" t="str">
        <x:v>MANUAL</x:v>
      </x:c>
      <x:c r="G181" s="26" t="str">
        <x:v>VERIFIED</x:v>
      </x:c>
      <x:c r="H181" s="26" t="str">
        <x:v>EXACT</x:v>
      </x:c>
      <x:c r="I181" s="36" t="n">
        <x:v>46248</x:v>
      </x:c>
      <x:c r="J181" s="26" t="str">
        <x:v>Codex/web research</x:v>
      </x:c>
      <x:c r="K181" s="26" t="str">
        <x:v>SCALE_BATCH_01 reviewer gate; official Turkey source.</x:v>
      </x:c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 t="str">
        <x:v>AST-000181</x:v>
      </x:c>
      <x:c r="B182" s="26" t="str">
        <x:v>TECHNICAL_FACT</x:v>
      </x:c>
      <x:c r="C182" s="26" t="str">
        <x:v>FAC-000088</x:v>
      </x:c>
      <x:c r="D182" s="26" t="str">
        <x:v>SRC-000027</x:v>
      </x:c>
      <x:c r="E182" s="26" t="str">
        <x:v>engine_displacement_cc</x:v>
      </x:c>
      <x:c r="F182" s="26" t="str">
        <x:v>MANUAL</x:v>
      </x:c>
      <x:c r="G182" s="26" t="str">
        <x:v>VERIFIED</x:v>
      </x:c>
      <x:c r="H182" s="26" t="str">
        <x:v>EXACT</x:v>
      </x:c>
      <x:c r="I182" s="36" t="n">
        <x:v>46248</x:v>
      </x:c>
      <x:c r="J182" s="26" t="str">
        <x:v>Codex/web research</x:v>
      </x:c>
      <x:c r="K182" s="26" t="str">
        <x:v>SCALE_BATCH_01 reviewer gate; official Turkey source.</x:v>
      </x:c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 t="str">
        <x:v>AST-000182</x:v>
      </x:c>
      <x:c r="B183" s="26" t="str">
        <x:v>TECHNICAL_FACT</x:v>
      </x:c>
      <x:c r="C183" s="26" t="str">
        <x:v>FAC-000089</x:v>
      </x:c>
      <x:c r="D183" s="26" t="str">
        <x:v>SRC-000027</x:v>
      </x:c>
      <x:c r="E183" s="26" t="str">
        <x:v>power_kw</x:v>
      </x:c>
      <x:c r="F183" s="26" t="str">
        <x:v>MANUAL</x:v>
      </x:c>
      <x:c r="G183" s="26" t="str">
        <x:v>VERIFIED</x:v>
      </x:c>
      <x:c r="H183" s="26" t="str">
        <x:v>EXACT</x:v>
      </x:c>
      <x:c r="I183" s="36" t="n">
        <x:v>46248</x:v>
      </x:c>
      <x:c r="J183" s="26" t="str">
        <x:v>Codex/web research</x:v>
      </x:c>
      <x:c r="K183" s="26" t="str">
        <x:v>SCALE_BATCH_01 reviewer gate; official Turkey source.</x:v>
      </x:c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 t="str">
        <x:v>AST-000183</x:v>
      </x:c>
      <x:c r="B184" s="26" t="str">
        <x:v>TECHNICAL_FACT</x:v>
      </x:c>
      <x:c r="C184" s="26" t="str">
        <x:v>FAC-000090</x:v>
      </x:c>
      <x:c r="D184" s="26" t="str">
        <x:v>SRC-000027</x:v>
      </x:c>
      <x:c r="E184" s="26" t="str">
        <x:v>torque_nm</x:v>
      </x:c>
      <x:c r="F184" s="26" t="str">
        <x:v>MANUAL</x:v>
      </x:c>
      <x:c r="G184" s="26" t="str">
        <x:v>VERIFIED</x:v>
      </x:c>
      <x:c r="H184" s="26" t="str">
        <x:v>EXACT</x:v>
      </x:c>
      <x:c r="I184" s="36" t="n">
        <x:v>46248</x:v>
      </x:c>
      <x:c r="J184" s="26" t="str">
        <x:v>Codex/web research</x:v>
      </x:c>
      <x:c r="K184" s="26" t="str">
        <x:v>SCALE_BATCH_01 reviewer gate; official Turkey source.</x:v>
      </x:c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 t="str">
        <x:v>AST-000184</x:v>
      </x:c>
      <x:c r="B185" s="26" t="str">
        <x:v>TECHNICAL_FACT</x:v>
      </x:c>
      <x:c r="C185" s="26" t="str">
        <x:v>FAC-000091</x:v>
      </x:c>
      <x:c r="D185" s="26" t="str">
        <x:v>SRC-000028</x:v>
      </x:c>
      <x:c r="E185" s="26" t="str">
        <x:v>engine_displacement_cc</x:v>
      </x:c>
      <x:c r="F185" s="26" t="str">
        <x:v>MANUAL</x:v>
      </x:c>
      <x:c r="G185" s="26" t="str">
        <x:v>VERIFIED</x:v>
      </x:c>
      <x:c r="H185" s="26" t="str">
        <x:v>EXACT</x:v>
      </x:c>
      <x:c r="I185" s="36" t="n">
        <x:v>46248</x:v>
      </x:c>
      <x:c r="J185" s="26" t="str">
        <x:v>Codex/web research</x:v>
      </x:c>
      <x:c r="K185" s="26" t="str">
        <x:v>SCALE_BATCH_01 reviewer gate; official Turkey source.</x:v>
      </x:c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 t="str">
        <x:v>AST-000185</x:v>
      </x:c>
      <x:c r="B186" s="26" t="str">
        <x:v>TECHNICAL_FACT</x:v>
      </x:c>
      <x:c r="C186" s="26" t="str">
        <x:v>FAC-000092</x:v>
      </x:c>
      <x:c r="D186" s="26" t="str">
        <x:v>SRC-000028</x:v>
      </x:c>
      <x:c r="E186" s="26" t="str">
        <x:v>power_kw</x:v>
      </x:c>
      <x:c r="F186" s="26" t="str">
        <x:v>MANUAL</x:v>
      </x:c>
      <x:c r="G186" s="26" t="str">
        <x:v>VERIFIED</x:v>
      </x:c>
      <x:c r="H186" s="26" t="str">
        <x:v>EXACT</x:v>
      </x:c>
      <x:c r="I186" s="36" t="n">
        <x:v>46248</x:v>
      </x:c>
      <x:c r="J186" s="26" t="str">
        <x:v>Codex/web research</x:v>
      </x:c>
      <x:c r="K186" s="26" t="str">
        <x:v>SCALE_BATCH_01 reviewer gate; official Turkey source.</x:v>
      </x:c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 t="str">
        <x:v>AST-000186</x:v>
      </x:c>
      <x:c r="B187" s="26" t="str">
        <x:v>TECHNICAL_FACT</x:v>
      </x:c>
      <x:c r="C187" s="26" t="str">
        <x:v>FAC-000093</x:v>
      </x:c>
      <x:c r="D187" s="26" t="str">
        <x:v>SRC-000028</x:v>
      </x:c>
      <x:c r="E187" s="26" t="str">
        <x:v>torque_nm</x:v>
      </x:c>
      <x:c r="F187" s="26" t="str">
        <x:v>MANUAL</x:v>
      </x:c>
      <x:c r="G187" s="26" t="str">
        <x:v>VERIFIED</x:v>
      </x:c>
      <x:c r="H187" s="26" t="str">
        <x:v>EXACT</x:v>
      </x:c>
      <x:c r="I187" s="36" t="n">
        <x:v>46248</x:v>
      </x:c>
      <x:c r="J187" s="26" t="str">
        <x:v>Codex/web research</x:v>
      </x:c>
      <x:c r="K187" s="26" t="str">
        <x:v>SCALE_BATCH_01 reviewer gate; official Turkey source.</x:v>
      </x:c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 t="str">
        <x:v>AST-000187</x:v>
      </x:c>
      <x:c r="B188" s="26" t="str">
        <x:v>TECHNICAL_FACT</x:v>
      </x:c>
      <x:c r="C188" s="26" t="str">
        <x:v>FAC-000094</x:v>
      </x:c>
      <x:c r="D188" s="26" t="str">
        <x:v>SRC-000028</x:v>
      </x:c>
      <x:c r="E188" s="26" t="str">
        <x:v>engine_displacement_cc</x:v>
      </x:c>
      <x:c r="F188" s="26" t="str">
        <x:v>MANUAL</x:v>
      </x:c>
      <x:c r="G188" s="26" t="str">
        <x:v>VERIFIED</x:v>
      </x:c>
      <x:c r="H188" s="26" t="str">
        <x:v>EXACT</x:v>
      </x:c>
      <x:c r="I188" s="36" t="n">
        <x:v>46248</x:v>
      </x:c>
      <x:c r="J188" s="26" t="str">
        <x:v>Codex/web research</x:v>
      </x:c>
      <x:c r="K188" s="26" t="str">
        <x:v>SCALE_BATCH_01 reviewer gate; official Turkey source.</x:v>
      </x:c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 t="str">
        <x:v>AST-000188</x:v>
      </x:c>
      <x:c r="B189" s="26" t="str">
        <x:v>TECHNICAL_FACT</x:v>
      </x:c>
      <x:c r="C189" s="26" t="str">
        <x:v>FAC-000095</x:v>
      </x:c>
      <x:c r="D189" s="26" t="str">
        <x:v>SRC-000028</x:v>
      </x:c>
      <x:c r="E189" s="26" t="str">
        <x:v>power_kw</x:v>
      </x:c>
      <x:c r="F189" s="26" t="str">
        <x:v>MANUAL</x:v>
      </x:c>
      <x:c r="G189" s="26" t="str">
        <x:v>VERIFIED</x:v>
      </x:c>
      <x:c r="H189" s="26" t="str">
        <x:v>EXACT</x:v>
      </x:c>
      <x:c r="I189" s="36" t="n">
        <x:v>46248</x:v>
      </x:c>
      <x:c r="J189" s="26" t="str">
        <x:v>Codex/web research</x:v>
      </x:c>
      <x:c r="K189" s="26" t="str">
        <x:v>SCALE_BATCH_01 reviewer gate; official Turkey source.</x:v>
      </x:c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 t="str">
        <x:v>AST-000189</x:v>
      </x:c>
      <x:c r="B190" s="26" t="str">
        <x:v>TECHNICAL_FACT</x:v>
      </x:c>
      <x:c r="C190" s="26" t="str">
        <x:v>FAC-000096</x:v>
      </x:c>
      <x:c r="D190" s="26" t="str">
        <x:v>SRC-000028</x:v>
      </x:c>
      <x:c r="E190" s="26" t="str">
        <x:v>torque_nm</x:v>
      </x:c>
      <x:c r="F190" s="26" t="str">
        <x:v>MANUAL</x:v>
      </x:c>
      <x:c r="G190" s="26" t="str">
        <x:v>VERIFIED</x:v>
      </x:c>
      <x:c r="H190" s="26" t="str">
        <x:v>EXACT</x:v>
      </x:c>
      <x:c r="I190" s="36" t="n">
        <x:v>46248</x:v>
      </x:c>
      <x:c r="J190" s="26" t="str">
        <x:v>Codex/web research</x:v>
      </x:c>
      <x:c r="K190" s="26" t="str">
        <x:v>SCALE_BATCH_01 reviewer gate; official Turkey source.</x:v>
      </x:c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 t="str">
        <x:v>AST-000190</x:v>
      </x:c>
      <x:c r="B191" s="26" t="str">
        <x:v>TECHNICAL_FACT</x:v>
      </x:c>
      <x:c r="C191" s="26" t="str">
        <x:v>FAC-000097</x:v>
      </x:c>
      <x:c r="D191" s="26" t="str">
        <x:v>SRC-000028</x:v>
      </x:c>
      <x:c r="E191" s="26" t="str">
        <x:v>length_mm</x:v>
      </x:c>
      <x:c r="F191" s="26" t="str">
        <x:v>MANUAL</x:v>
      </x:c>
      <x:c r="G191" s="26" t="str">
        <x:v>VERIFIED</x:v>
      </x:c>
      <x:c r="H191" s="26" t="str">
        <x:v>EXACT</x:v>
      </x:c>
      <x:c r="I191" s="36" t="n">
        <x:v>46248</x:v>
      </x:c>
      <x:c r="J191" s="26" t="str">
        <x:v>Codex/web research</x:v>
      </x:c>
      <x:c r="K191" s="26" t="str">
        <x:v>SCALE_BATCH_01 reviewer gate; official Turkey source.</x:v>
      </x:c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 t="str">
        <x:v>AST-000191</x:v>
      </x:c>
      <x:c r="B192" s="26" t="str">
        <x:v>TECHNICAL_FACT</x:v>
      </x:c>
      <x:c r="C192" s="26" t="str">
        <x:v>FAC-000098</x:v>
      </x:c>
      <x:c r="D192" s="26" t="str">
        <x:v>SRC-000028</x:v>
      </x:c>
      <x:c r="E192" s="26" t="str">
        <x:v>width_mm</x:v>
      </x:c>
      <x:c r="F192" s="26" t="str">
        <x:v>MANUAL</x:v>
      </x:c>
      <x:c r="G192" s="26" t="str">
        <x:v>VERIFIED</x:v>
      </x:c>
      <x:c r="H192" s="26" t="str">
        <x:v>EXACT</x:v>
      </x:c>
      <x:c r="I192" s="36" t="n">
        <x:v>46248</x:v>
      </x:c>
      <x:c r="J192" s="26" t="str">
        <x:v>Codex/web research</x:v>
      </x:c>
      <x:c r="K192" s="26" t="str">
        <x:v>SCALE_BATCH_01 reviewer gate; official Turkey source.</x:v>
      </x:c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 t="str">
        <x:v>AST-000192</x:v>
      </x:c>
      <x:c r="B193" s="26" t="str">
        <x:v>TECHNICAL_FACT</x:v>
      </x:c>
      <x:c r="C193" s="26" t="str">
        <x:v>FAC-000099</x:v>
      </x:c>
      <x:c r="D193" s="26" t="str">
        <x:v>SRC-000028</x:v>
      </x:c>
      <x:c r="E193" s="26" t="str">
        <x:v>height_mm</x:v>
      </x:c>
      <x:c r="F193" s="26" t="str">
        <x:v>MANUAL</x:v>
      </x:c>
      <x:c r="G193" s="26" t="str">
        <x:v>VERIFIED</x:v>
      </x:c>
      <x:c r="H193" s="26" t="str">
        <x:v>EXACT</x:v>
      </x:c>
      <x:c r="I193" s="36" t="n">
        <x:v>46248</x:v>
      </x:c>
      <x:c r="J193" s="26" t="str">
        <x:v>Codex/web research</x:v>
      </x:c>
      <x:c r="K193" s="26" t="str">
        <x:v>SCALE_BATCH_01 reviewer gate; official Turkey source.</x:v>
      </x:c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 t="str">
        <x:v>AST-000193</x:v>
      </x:c>
      <x:c r="B194" s="26" t="str">
        <x:v>TECHNICAL_FACT</x:v>
      </x:c>
      <x:c r="C194" s="26" t="str">
        <x:v>FAC-000100</x:v>
      </x:c>
      <x:c r="D194" s="26" t="str">
        <x:v>SRC-000028</x:v>
      </x:c>
      <x:c r="E194" s="26" t="str">
        <x:v>wheelbase_mm</x:v>
      </x:c>
      <x:c r="F194" s="26" t="str">
        <x:v>MANUAL</x:v>
      </x:c>
      <x:c r="G194" s="26" t="str">
        <x:v>VERIFIED</x:v>
      </x:c>
      <x:c r="H194" s="26" t="str">
        <x:v>EXACT</x:v>
      </x:c>
      <x:c r="I194" s="36" t="n">
        <x:v>46248</x:v>
      </x:c>
      <x:c r="J194" s="26" t="str">
        <x:v>Codex/web research</x:v>
      </x:c>
      <x:c r="K194" s="26" t="str">
        <x:v>SCALE_BATCH_01 reviewer gate; official Turkey source.</x:v>
      </x:c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 t="str">
        <x:v>AST-000194</x:v>
      </x:c>
      <x:c r="B195" s="26" t="str">
        <x:v>TECHNICAL_FACT</x:v>
      </x:c>
      <x:c r="C195" s="26" t="str">
        <x:v>FAC-000101</x:v>
      </x:c>
      <x:c r="D195" s="26" t="str">
        <x:v>SRC-000028</x:v>
      </x:c>
      <x:c r="E195" s="26" t="str">
        <x:v>official_fuel_consumption_combined</x:v>
      </x:c>
      <x:c r="F195" s="26" t="str">
        <x:v>MANUAL</x:v>
      </x:c>
      <x:c r="G195" s="26" t="str">
        <x:v>VERIFIED</x:v>
      </x:c>
      <x:c r="H195" s="26" t="str">
        <x:v>EXACT</x:v>
      </x:c>
      <x:c r="I195" s="36" t="n">
        <x:v>46248</x:v>
      </x:c>
      <x:c r="J195" s="26" t="str">
        <x:v>Codex/web research</x:v>
      </x:c>
      <x:c r="K195" s="26" t="str">
        <x:v>Structured numeric range preserved from official source.</x:v>
      </x:c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 t="str">
        <x:v>AST-000195</x:v>
      </x:c>
      <x:c r="B196" s="26" t="str">
        <x:v>TECHNICAL_FACT</x:v>
      </x:c>
      <x:c r="C196" s="26" t="str">
        <x:v>FAC-000102</x:v>
      </x:c>
      <x:c r="D196" s="26" t="str">
        <x:v>SRC-000028</x:v>
      </x:c>
      <x:c r="E196" s="26" t="str">
        <x:v>official_fuel_consumption_combined</x:v>
      </x:c>
      <x:c r="F196" s="26" t="str">
        <x:v>MANUAL</x:v>
      </x:c>
      <x:c r="G196" s="26" t="str">
        <x:v>VERIFIED</x:v>
      </x:c>
      <x:c r="H196" s="26" t="str">
        <x:v>EXACT</x:v>
      </x:c>
      <x:c r="I196" s="36" t="n">
        <x:v>46248</x:v>
      </x:c>
      <x:c r="J196" s="26" t="str">
        <x:v>Codex/web research</x:v>
      </x:c>
      <x:c r="K196" s="26" t="str">
        <x:v>SCALE_BATCH_01 reviewer gate; official Turkey source.</x:v>
      </x:c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 t="str">
        <x:v>AST-000196</x:v>
      </x:c>
      <x:c r="B197" s="26" t="str">
        <x:v>TECHNICAL_FACT</x:v>
      </x:c>
      <x:c r="C197" s="26" t="str">
        <x:v>FAC-000103</x:v>
      </x:c>
      <x:c r="D197" s="26" t="str">
        <x:v>SRC-000029</x:v>
      </x:c>
      <x:c r="E197" s="26" t="str">
        <x:v>engine_displacement_cc</x:v>
      </x:c>
      <x:c r="F197" s="26" t="str">
        <x:v>MANUAL</x:v>
      </x:c>
      <x:c r="G197" s="26" t="str">
        <x:v>VERIFIED</x:v>
      </x:c>
      <x:c r="H197" s="26" t="str">
        <x:v>EXACT</x:v>
      </x:c>
      <x:c r="I197" s="36" t="n">
        <x:v>46248</x:v>
      </x:c>
      <x:c r="J197" s="26" t="str">
        <x:v>Codex/web research</x:v>
      </x:c>
      <x:c r="K197" s="26" t="str">
        <x:v>SCALE_BATCH_01 reviewer gate; official Turkey source.</x:v>
      </x:c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 t="str">
        <x:v>AST-000197</x:v>
      </x:c>
      <x:c r="B198" s="26" t="str">
        <x:v>TECHNICAL_FACT</x:v>
      </x:c>
      <x:c r="C198" s="26" t="str">
        <x:v>FAC-000104</x:v>
      </x:c>
      <x:c r="D198" s="26" t="str">
        <x:v>SRC-000029</x:v>
      </x:c>
      <x:c r="E198" s="26" t="str">
        <x:v>power_kw</x:v>
      </x:c>
      <x:c r="F198" s="26" t="str">
        <x:v>MANUAL</x:v>
      </x:c>
      <x:c r="G198" s="26" t="str">
        <x:v>VERIFIED</x:v>
      </x:c>
      <x:c r="H198" s="26" t="str">
        <x:v>EXACT</x:v>
      </x:c>
      <x:c r="I198" s="36" t="n">
        <x:v>46248</x:v>
      </x:c>
      <x:c r="J198" s="26" t="str">
        <x:v>Codex/web research</x:v>
      </x:c>
      <x:c r="K198" s="26" t="str">
        <x:v>SCALE_BATCH_01 reviewer gate; official Turkey source.</x:v>
      </x:c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 t="str">
        <x:v>AST-000198</x:v>
      </x:c>
      <x:c r="B199" s="26" t="str">
        <x:v>TECHNICAL_FACT</x:v>
      </x:c>
      <x:c r="C199" s="26" t="str">
        <x:v>FAC-000105</x:v>
      </x:c>
      <x:c r="D199" s="26" t="str">
        <x:v>SRC-000029</x:v>
      </x:c>
      <x:c r="E199" s="26" t="str">
        <x:v>torque_nm</x:v>
      </x:c>
      <x:c r="F199" s="26" t="str">
        <x:v>MANUAL</x:v>
      </x:c>
      <x:c r="G199" s="26" t="str">
        <x:v>VERIFIED</x:v>
      </x:c>
      <x:c r="H199" s="26" t="str">
        <x:v>EXACT</x:v>
      </x:c>
      <x:c r="I199" s="36" t="n">
        <x:v>46248</x:v>
      </x:c>
      <x:c r="J199" s="26" t="str">
        <x:v>Codex/web research</x:v>
      </x:c>
      <x:c r="K199" s="26" t="str">
        <x:v>SCALE_BATCH_01 reviewer gate; official Turkey source.</x:v>
      </x:c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 t="str">
        <x:v>AST-000199</x:v>
      </x:c>
      <x:c r="B200" s="26" t="str">
        <x:v>TECHNICAL_FACT</x:v>
      </x:c>
      <x:c r="C200" s="26" t="str">
        <x:v>FAC-000106</x:v>
      </x:c>
      <x:c r="D200" s="26" t="str">
        <x:v>SRC-000029</x:v>
      </x:c>
      <x:c r="E200" s="26" t="str">
        <x:v>official_fuel_consumption_combined</x:v>
      </x:c>
      <x:c r="F200" s="26" t="str">
        <x:v>MANUAL</x:v>
      </x:c>
      <x:c r="G200" s="26" t="str">
        <x:v>VERIFIED</x:v>
      </x:c>
      <x:c r="H200" s="26" t="str">
        <x:v>EXACT</x:v>
      </x:c>
      <x:c r="I200" s="36" t="n">
        <x:v>46248</x:v>
      </x:c>
      <x:c r="J200" s="26" t="str">
        <x:v>Codex/web research</x:v>
      </x:c>
      <x:c r="K200" s="26" t="str">
        <x:v>Structured numeric range preserved from official source.</x:v>
      </x:c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 t="str">
        <x:v>AST-000200</x:v>
      </x:c>
      <x:c r="B201" s="26" t="str">
        <x:v>TECHNICAL_FACT</x:v>
      </x:c>
      <x:c r="C201" s="26" t="str">
        <x:v>FAC-000107</x:v>
      </x:c>
      <x:c r="D201" s="26" t="str">
        <x:v>SRC-000031</x:v>
      </x:c>
      <x:c r="E201" s="26" t="str">
        <x:v>official_fuel_consumption_combined</x:v>
      </x:c>
      <x:c r="F201" s="26" t="str">
        <x:v>MANUAL</x:v>
      </x:c>
      <x:c r="G201" s="26" t="str">
        <x:v>VERIFIED</x:v>
      </x:c>
      <x:c r="H201" s="26" t="str">
        <x:v>EXACT</x:v>
      </x:c>
      <x:c r="I201" s="36" t="n">
        <x:v>46248</x:v>
      </x:c>
      <x:c r="J201" s="26" t="str">
        <x:v>Codex/web research</x:v>
      </x:c>
      <x:c r="K201" s="26" t="str">
        <x:v>SCALE_BATCH_01 reviewer gate; official Turkey source.</x:v>
      </x:c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 t="str">
        <x:v>AST-000201</x:v>
      </x:c>
      <x:c r="B202" s="26" t="str">
        <x:v>TECHNICAL_FACT</x:v>
      </x:c>
      <x:c r="C202" s="26" t="str">
        <x:v>FAC-000108</x:v>
      </x:c>
      <x:c r="D202" s="26" t="str">
        <x:v>SRC-000032</x:v>
      </x:c>
      <x:c r="E202" s="26" t="str">
        <x:v>engine_displacement_cc</x:v>
      </x:c>
      <x:c r="F202" s="26" t="str">
        <x:v>MANUAL</x:v>
      </x:c>
      <x:c r="G202" s="26" t="str">
        <x:v>VERIFIED</x:v>
      </x:c>
      <x:c r="H202" s="26" t="str">
        <x:v>EXACT</x:v>
      </x:c>
      <x:c r="I202" s="36" t="n">
        <x:v>46248</x:v>
      </x:c>
      <x:c r="J202" s="26" t="str">
        <x:v>Codex/web research</x:v>
      </x:c>
      <x:c r="K202" s="26" t="str">
        <x:v>SCALE_BATCH_01 reviewer gate; official Turkey source.</x:v>
      </x:c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 t="str">
        <x:v>AST-000202</x:v>
      </x:c>
      <x:c r="B203" s="26" t="str">
        <x:v>TECHNICAL_FACT</x:v>
      </x:c>
      <x:c r="C203" s="26" t="str">
        <x:v>FAC-000109</x:v>
      </x:c>
      <x:c r="D203" s="26" t="str">
        <x:v>SRC-000032</x:v>
      </x:c>
      <x:c r="E203" s="26" t="str">
        <x:v>power_kw</x:v>
      </x:c>
      <x:c r="F203" s="26" t="str">
        <x:v>MANUAL</x:v>
      </x:c>
      <x:c r="G203" s="26" t="str">
        <x:v>VERIFIED</x:v>
      </x:c>
      <x:c r="H203" s="26" t="str">
        <x:v>EXACT</x:v>
      </x:c>
      <x:c r="I203" s="36" t="n">
        <x:v>46248</x:v>
      </x:c>
      <x:c r="J203" s="26" t="str">
        <x:v>Codex/web research</x:v>
      </x:c>
      <x:c r="K203" s="26" t="str">
        <x:v>SCALE_BATCH_01 reviewer gate; official Turkey source.</x:v>
      </x:c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 t="str">
        <x:v>AST-000203</x:v>
      </x:c>
      <x:c r="B204" s="26" t="str">
        <x:v>TECHNICAL_FACT</x:v>
      </x:c>
      <x:c r="C204" s="26" t="str">
        <x:v>FAC-000110</x:v>
      </x:c>
      <x:c r="D204" s="26" t="str">
        <x:v>SRC-000032</x:v>
      </x:c>
      <x:c r="E204" s="26" t="str">
        <x:v>torque_nm</x:v>
      </x:c>
      <x:c r="F204" s="26" t="str">
        <x:v>MANUAL</x:v>
      </x:c>
      <x:c r="G204" s="26" t="str">
        <x:v>VERIFIED</x:v>
      </x:c>
      <x:c r="H204" s="26" t="str">
        <x:v>EXACT</x:v>
      </x:c>
      <x:c r="I204" s="36" t="n">
        <x:v>46248</x:v>
      </x:c>
      <x:c r="J204" s="26" t="str">
        <x:v>Codex/web research</x:v>
      </x:c>
      <x:c r="K204" s="26" t="str">
        <x:v>SCALE_BATCH_01 reviewer gate; official Turkey source.</x:v>
      </x:c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 t="str">
        <x:v>AST-000204</x:v>
      </x:c>
      <x:c r="B205" s="26" t="str">
        <x:v>TECHNICAL_FACT</x:v>
      </x:c>
      <x:c r="C205" s="26" t="str">
        <x:v>FAC-000111</x:v>
      </x:c>
      <x:c r="D205" s="26" t="str">
        <x:v>SRC-000032</x:v>
      </x:c>
      <x:c r="E205" s="26" t="str">
        <x:v>length_mm</x:v>
      </x:c>
      <x:c r="F205" s="26" t="str">
        <x:v>MANUAL</x:v>
      </x:c>
      <x:c r="G205" s="26" t="str">
        <x:v>VERIFIED</x:v>
      </x:c>
      <x:c r="H205" s="26" t="str">
        <x:v>EXACT</x:v>
      </x:c>
      <x:c r="I205" s="36" t="n">
        <x:v>46248</x:v>
      </x:c>
      <x:c r="J205" s="26" t="str">
        <x:v>Codex/web research</x:v>
      </x:c>
      <x:c r="K205" s="26" t="str">
        <x:v>SCALE_BATCH_01 reviewer gate; official Turkey source.</x:v>
      </x:c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 t="str">
        <x:v>AST-000205</x:v>
      </x:c>
      <x:c r="B206" s="26" t="str">
        <x:v>TECHNICAL_FACT</x:v>
      </x:c>
      <x:c r="C206" s="26" t="str">
        <x:v>FAC-000112</x:v>
      </x:c>
      <x:c r="D206" s="26" t="str">
        <x:v>SRC-000032</x:v>
      </x:c>
      <x:c r="E206" s="26" t="str">
        <x:v>width_mm</x:v>
      </x:c>
      <x:c r="F206" s="26" t="str">
        <x:v>MANUAL</x:v>
      </x:c>
      <x:c r="G206" s="26" t="str">
        <x:v>VERIFIED</x:v>
      </x:c>
      <x:c r="H206" s="26" t="str">
        <x:v>EXACT</x:v>
      </x:c>
      <x:c r="I206" s="36" t="n">
        <x:v>46248</x:v>
      </x:c>
      <x:c r="J206" s="26" t="str">
        <x:v>Codex/web research</x:v>
      </x:c>
      <x:c r="K206" s="26" t="str">
        <x:v>SCALE_BATCH_01 reviewer gate; official Turkey source.</x:v>
      </x:c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 t="str">
        <x:v>AST-000206</x:v>
      </x:c>
      <x:c r="B207" s="26" t="str">
        <x:v>TECHNICAL_FACT</x:v>
      </x:c>
      <x:c r="C207" s="26" t="str">
        <x:v>FAC-000113</x:v>
      </x:c>
      <x:c r="D207" s="26" t="str">
        <x:v>SRC-000032</x:v>
      </x:c>
      <x:c r="E207" s="26" t="str">
        <x:v>height_mm</x:v>
      </x:c>
      <x:c r="F207" s="26" t="str">
        <x:v>MANUAL</x:v>
      </x:c>
      <x:c r="G207" s="26" t="str">
        <x:v>VERIFIED</x:v>
      </x:c>
      <x:c r="H207" s="26" t="str">
        <x:v>EXACT</x:v>
      </x:c>
      <x:c r="I207" s="36" t="n">
        <x:v>46248</x:v>
      </x:c>
      <x:c r="J207" s="26" t="str">
        <x:v>Codex/web research</x:v>
      </x:c>
      <x:c r="K207" s="26" t="str">
        <x:v>SCALE_BATCH_01 reviewer gate; official Turkey source.</x:v>
      </x:c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 t="str">
        <x:v>AST-000207</x:v>
      </x:c>
      <x:c r="B208" s="26" t="str">
        <x:v>TECHNICAL_FACT</x:v>
      </x:c>
      <x:c r="C208" s="26" t="str">
        <x:v>FAC-000114</x:v>
      </x:c>
      <x:c r="D208" s="26" t="str">
        <x:v>SRC-000032</x:v>
      </x:c>
      <x:c r="E208" s="26" t="str">
        <x:v>wheelbase_mm</x:v>
      </x:c>
      <x:c r="F208" s="26" t="str">
        <x:v>MANUAL</x:v>
      </x:c>
      <x:c r="G208" s="26" t="str">
        <x:v>VERIFIED</x:v>
      </x:c>
      <x:c r="H208" s="26" t="str">
        <x:v>EXACT</x:v>
      </x:c>
      <x:c r="I208" s="36" t="n">
        <x:v>46248</x:v>
      </x:c>
      <x:c r="J208" s="26" t="str">
        <x:v>Codex/web research</x:v>
      </x:c>
      <x:c r="K208" s="26" t="str">
        <x:v>SCALE_BATCH_01 reviewer gate; official Turkey source.</x:v>
      </x:c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 t="str">
        <x:v>AST-000208</x:v>
      </x:c>
      <x:c r="B209" s="26" t="str">
        <x:v>TECHNICAL_FACT</x:v>
      </x:c>
      <x:c r="C209" s="26" t="str">
        <x:v>FAC-000115</x:v>
      </x:c>
      <x:c r="D209" s="26" t="str">
        <x:v>SRC-000032</x:v>
      </x:c>
      <x:c r="E209" s="26" t="str">
        <x:v>cargo_volume_l</x:v>
      </x:c>
      <x:c r="F209" s="26" t="str">
        <x:v>MANUAL</x:v>
      </x:c>
      <x:c r="G209" s="26" t="str">
        <x:v>VERIFIED</x:v>
      </x:c>
      <x:c r="H209" s="26" t="str">
        <x:v>EXACT</x:v>
      </x:c>
      <x:c r="I209" s="36" t="n">
        <x:v>46248</x:v>
      </x:c>
      <x:c r="J209" s="26" t="str">
        <x:v>Codex/web research</x:v>
      </x:c>
      <x:c r="K209" s="26" t="str">
        <x:v>SCALE_BATCH_01 reviewer gate; official Turkey source.</x:v>
      </x:c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 t="str">
        <x:v>AST-000209</x:v>
      </x:c>
      <x:c r="B210" s="26" t="str">
        <x:v>TECHNICAL_FACT</x:v>
      </x:c>
      <x:c r="C210" s="26" t="str">
        <x:v>FAC-000116</x:v>
      </x:c>
      <x:c r="D210" s="26" t="str">
        <x:v>SRC-000032</x:v>
      </x:c>
      <x:c r="E210" s="26" t="str">
        <x:v>seats</x:v>
      </x:c>
      <x:c r="F210" s="26" t="str">
        <x:v>MANUAL</x:v>
      </x:c>
      <x:c r="G210" s="26" t="str">
        <x:v>VERIFIED</x:v>
      </x:c>
      <x:c r="H210" s="26" t="str">
        <x:v>EXACT</x:v>
      </x:c>
      <x:c r="I210" s="36" t="n">
        <x:v>46248</x:v>
      </x:c>
      <x:c r="J210" s="26" t="str">
        <x:v>Codex/web research</x:v>
      </x:c>
      <x:c r="K210" s="26" t="str">
        <x:v>SCALE_BATCH_01 reviewer gate; official Turkey source.</x:v>
      </x:c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 t="str">
        <x:v>AST-000210</x:v>
      </x:c>
      <x:c r="B211" s="26" t="str">
        <x:v>TECHNICAL_FACT</x:v>
      </x:c>
      <x:c r="C211" s="26" t="str">
        <x:v>FAC-000117</x:v>
      </x:c>
      <x:c r="D211" s="26" t="str">
        <x:v>SRC-000032</x:v>
      </x:c>
      <x:c r="E211" s="26" t="str">
        <x:v>official_fuel_consumption_combined</x:v>
      </x:c>
      <x:c r="F211" s="26" t="str">
        <x:v>MANUAL</x:v>
      </x:c>
      <x:c r="G211" s="26" t="str">
        <x:v>VERIFIED</x:v>
      </x:c>
      <x:c r="H211" s="26" t="str">
        <x:v>EXACT</x:v>
      </x:c>
      <x:c r="I211" s="36" t="n">
        <x:v>46248</x:v>
      </x:c>
      <x:c r="J211" s="26" t="str">
        <x:v>Codex/web research</x:v>
      </x:c>
      <x:c r="K211" s="26" t="str">
        <x:v>Structured numeric range preserved from official source.</x:v>
      </x:c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 t="str">
        <x:v>AST-000211</x:v>
      </x:c>
      <x:c r="B212" s="26" t="str">
        <x:v>TECHNICAL_FACT</x:v>
      </x:c>
      <x:c r="C212" s="26" t="str">
        <x:v>FAC-000118</x:v>
      </x:c>
      <x:c r="D212" s="26" t="str">
        <x:v>SRC-000033</x:v>
      </x:c>
      <x:c r="E212" s="26" t="str">
        <x:v>engine_displacement_cc</x:v>
      </x:c>
      <x:c r="F212" s="26" t="str">
        <x:v>MANUAL</x:v>
      </x:c>
      <x:c r="G212" s="26" t="str">
        <x:v>VERIFIED</x:v>
      </x:c>
      <x:c r="H212" s="26" t="str">
        <x:v>EXACT</x:v>
      </x:c>
      <x:c r="I212" s="36" t="n">
        <x:v>46248</x:v>
      </x:c>
      <x:c r="J212" s="26" t="str">
        <x:v>Codex/web research</x:v>
      </x:c>
      <x:c r="K212" s="26" t="str">
        <x:v>SCALE_BATCH_01 reviewer gate; official Turkey source.</x:v>
      </x:c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 t="str">
        <x:v>AST-000212</x:v>
      </x:c>
      <x:c r="B213" s="26" t="str">
        <x:v>TECHNICAL_FACT</x:v>
      </x:c>
      <x:c r="C213" s="26" t="str">
        <x:v>FAC-000119</x:v>
      </x:c>
      <x:c r="D213" s="26" t="str">
        <x:v>SRC-000033</x:v>
      </x:c>
      <x:c r="E213" s="26" t="str">
        <x:v>torque_nm</x:v>
      </x:c>
      <x:c r="F213" s="26" t="str">
        <x:v>MANUAL</x:v>
      </x:c>
      <x:c r="G213" s="26" t="str">
        <x:v>VERIFIED</x:v>
      </x:c>
      <x:c r="H213" s="26" t="str">
        <x:v>EXACT</x:v>
      </x:c>
      <x:c r="I213" s="36" t="n">
        <x:v>46248</x:v>
      </x:c>
      <x:c r="J213" s="26" t="str">
        <x:v>Codex/web research</x:v>
      </x:c>
      <x:c r="K213" s="26" t="str">
        <x:v>SCALE_BATCH_01 reviewer gate; official Turkey source.</x:v>
      </x:c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 t="str">
        <x:v>AST-000213</x:v>
      </x:c>
      <x:c r="B214" s="26" t="str">
        <x:v>TECHNICAL_FACT</x:v>
      </x:c>
      <x:c r="C214" s="26" t="str">
        <x:v>FAC-000120</x:v>
      </x:c>
      <x:c r="D214" s="26" t="str">
        <x:v>SRC-000034</x:v>
      </x:c>
      <x:c r="E214" s="26" t="str">
        <x:v>engine_displacement_cc</x:v>
      </x:c>
      <x:c r="F214" s="26" t="str">
        <x:v>MANUAL</x:v>
      </x:c>
      <x:c r="G214" s="26" t="str">
        <x:v>VERIFIED</x:v>
      </x:c>
      <x:c r="H214" s="26" t="str">
        <x:v>EXACT</x:v>
      </x:c>
      <x:c r="I214" s="36" t="n">
        <x:v>46248</x:v>
      </x:c>
      <x:c r="J214" s="26" t="str">
        <x:v>Codex/web research</x:v>
      </x:c>
      <x:c r="K214" s="26" t="str">
        <x:v>SCALE_BATCH_01 reviewer gate; official Turkey source.</x:v>
      </x:c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 t="str">
        <x:v>AST-000214</x:v>
      </x:c>
      <x:c r="B215" s="26" t="str">
        <x:v>TECHNICAL_FACT</x:v>
      </x:c>
      <x:c r="C215" s="26" t="str">
        <x:v>FAC-000121</x:v>
      </x:c>
      <x:c r="D215" s="26" t="str">
        <x:v>SRC-000034</x:v>
      </x:c>
      <x:c r="E215" s="26" t="str">
        <x:v>power_kw</x:v>
      </x:c>
      <x:c r="F215" s="26" t="str">
        <x:v>MANUAL</x:v>
      </x:c>
      <x:c r="G215" s="26" t="str">
        <x:v>VERIFIED</x:v>
      </x:c>
      <x:c r="H215" s="26" t="str">
        <x:v>EXACT</x:v>
      </x:c>
      <x:c r="I215" s="36" t="n">
        <x:v>46248</x:v>
      </x:c>
      <x:c r="J215" s="26" t="str">
        <x:v>Codex/web research</x:v>
      </x:c>
      <x:c r="K215" s="26" t="str">
        <x:v>SCALE_BATCH_01 reviewer gate; official Turkey source.</x:v>
      </x:c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 t="str">
        <x:v>AST-000215</x:v>
      </x:c>
      <x:c r="B216" s="26" t="str">
        <x:v>TECHNICAL_FACT</x:v>
      </x:c>
      <x:c r="C216" s="26" t="str">
        <x:v>FAC-000122</x:v>
      </x:c>
      <x:c r="D216" s="26" t="str">
        <x:v>SRC-000034</x:v>
      </x:c>
      <x:c r="E216" s="26" t="str">
        <x:v>torque_nm</x:v>
      </x:c>
      <x:c r="F216" s="26" t="str">
        <x:v>MANUAL</x:v>
      </x:c>
      <x:c r="G216" s="26" t="str">
        <x:v>VERIFIED</x:v>
      </x:c>
      <x:c r="H216" s="26" t="str">
        <x:v>EXACT</x:v>
      </x:c>
      <x:c r="I216" s="36" t="n">
        <x:v>46248</x:v>
      </x:c>
      <x:c r="J216" s="26" t="str">
        <x:v>Codex/web research</x:v>
      </x:c>
      <x:c r="K216" s="26" t="str">
        <x:v>SCALE_BATCH_01 reviewer gate; official Turkey source.</x:v>
      </x:c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 t="str">
        <x:v>AST-000216</x:v>
      </x:c>
      <x:c r="B217" s="26" t="str">
        <x:v>TECHNICAL_FACT</x:v>
      </x:c>
      <x:c r="C217" s="26" t="str">
        <x:v>FAC-000123</x:v>
      </x:c>
      <x:c r="D217" s="26" t="str">
        <x:v>SRC-000034</x:v>
      </x:c>
      <x:c r="E217" s="26" t="str">
        <x:v>length_mm</x:v>
      </x:c>
      <x:c r="F217" s="26" t="str">
        <x:v>MANUAL</x:v>
      </x:c>
      <x:c r="G217" s="26" t="str">
        <x:v>VERIFIED</x:v>
      </x:c>
      <x:c r="H217" s="26" t="str">
        <x:v>EXACT</x:v>
      </x:c>
      <x:c r="I217" s="36" t="n">
        <x:v>46248</x:v>
      </x:c>
      <x:c r="J217" s="26" t="str">
        <x:v>Codex/web research</x:v>
      </x:c>
      <x:c r="K217" s="26" t="str">
        <x:v>SCALE_BATCH_01 reviewer gate; official Turkey source.</x:v>
      </x:c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 t="str">
        <x:v>AST-000217</x:v>
      </x:c>
      <x:c r="B218" s="26" t="str">
        <x:v>TECHNICAL_FACT</x:v>
      </x:c>
      <x:c r="C218" s="26" t="str">
        <x:v>FAC-000124</x:v>
      </x:c>
      <x:c r="D218" s="26" t="str">
        <x:v>SRC-000034</x:v>
      </x:c>
      <x:c r="E218" s="26" t="str">
        <x:v>width_mm</x:v>
      </x:c>
      <x:c r="F218" s="26" t="str">
        <x:v>MANUAL</x:v>
      </x:c>
      <x:c r="G218" s="26" t="str">
        <x:v>VERIFIED</x:v>
      </x:c>
      <x:c r="H218" s="26" t="str">
        <x:v>EXACT</x:v>
      </x:c>
      <x:c r="I218" s="36" t="n">
        <x:v>46248</x:v>
      </x:c>
      <x:c r="J218" s="26" t="str">
        <x:v>Codex/web research</x:v>
      </x:c>
      <x:c r="K218" s="26" t="str">
        <x:v>SCALE_BATCH_01 reviewer gate; official Turkey source.</x:v>
      </x:c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 t="str">
        <x:v>AST-000218</x:v>
      </x:c>
      <x:c r="B219" s="26" t="str">
        <x:v>TECHNICAL_FACT</x:v>
      </x:c>
      <x:c r="C219" s="26" t="str">
        <x:v>FAC-000125</x:v>
      </x:c>
      <x:c r="D219" s="26" t="str">
        <x:v>SRC-000034</x:v>
      </x:c>
      <x:c r="E219" s="26" t="str">
        <x:v>height_mm</x:v>
      </x:c>
      <x:c r="F219" s="26" t="str">
        <x:v>MANUAL</x:v>
      </x:c>
      <x:c r="G219" s="26" t="str">
        <x:v>VERIFIED</x:v>
      </x:c>
      <x:c r="H219" s="26" t="str">
        <x:v>EXACT</x:v>
      </x:c>
      <x:c r="I219" s="36" t="n">
        <x:v>46248</x:v>
      </x:c>
      <x:c r="J219" s="26" t="str">
        <x:v>Codex/web research</x:v>
      </x:c>
      <x:c r="K219" s="26" t="str">
        <x:v>SCALE_BATCH_01 reviewer gate; official Turkey source.</x:v>
      </x:c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 t="str">
        <x:v>AST-000219</x:v>
      </x:c>
      <x:c r="B220" s="26" t="str">
        <x:v>TECHNICAL_FACT</x:v>
      </x:c>
      <x:c r="C220" s="26" t="str">
        <x:v>FAC-000126</x:v>
      </x:c>
      <x:c r="D220" s="26" t="str">
        <x:v>SRC-000034</x:v>
      </x:c>
      <x:c r="E220" s="26" t="str">
        <x:v>wheelbase_mm</x:v>
      </x:c>
      <x:c r="F220" s="26" t="str">
        <x:v>MANUAL</x:v>
      </x:c>
      <x:c r="G220" s="26" t="str">
        <x:v>VERIFIED</x:v>
      </x:c>
      <x:c r="H220" s="26" t="str">
        <x:v>EXACT</x:v>
      </x:c>
      <x:c r="I220" s="36" t="n">
        <x:v>46248</x:v>
      </x:c>
      <x:c r="J220" s="26" t="str">
        <x:v>Codex/web research</x:v>
      </x:c>
      <x:c r="K220" s="26" t="str">
        <x:v>SCALE_BATCH_01 reviewer gate; official Turkey source.</x:v>
      </x:c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 t="str">
        <x:v>AST-000220</x:v>
      </x:c>
      <x:c r="B221" s="26" t="str">
        <x:v>TECHNICAL_FACT</x:v>
      </x:c>
      <x:c r="C221" s="26" t="str">
        <x:v>FAC-000127</x:v>
      </x:c>
      <x:c r="D221" s="26" t="str">
        <x:v>SRC-000034</x:v>
      </x:c>
      <x:c r="E221" s="26" t="str">
        <x:v>ground_clearance_mm</x:v>
      </x:c>
      <x:c r="F221" s="26" t="str">
        <x:v>MANUAL</x:v>
      </x:c>
      <x:c r="G221" s="26" t="str">
        <x:v>VERIFIED</x:v>
      </x:c>
      <x:c r="H221" s="26" t="str">
        <x:v>EXACT</x:v>
      </x:c>
      <x:c r="I221" s="36" t="n">
        <x:v>46248</x:v>
      </x:c>
      <x:c r="J221" s="26" t="str">
        <x:v>Codex/web research</x:v>
      </x:c>
      <x:c r="K221" s="26" t="str">
        <x:v>SCALE_BATCH_01 reviewer gate; official Turkey source.</x:v>
      </x:c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 t="str">
        <x:v>AST-000221</x:v>
      </x:c>
      <x:c r="B222" s="26" t="str">
        <x:v>TECHNICAL_FACT</x:v>
      </x:c>
      <x:c r="C222" s="26" t="str">
        <x:v>FAC-000128</x:v>
      </x:c>
      <x:c r="D222" s="26" t="str">
        <x:v>SRC-000034</x:v>
      </x:c>
      <x:c r="E222" s="26" t="str">
        <x:v>cargo_volume_l</x:v>
      </x:c>
      <x:c r="F222" s="26" t="str">
        <x:v>MANUAL</x:v>
      </x:c>
      <x:c r="G222" s="26" t="str">
        <x:v>VERIFIED</x:v>
      </x:c>
      <x:c r="H222" s="26" t="str">
        <x:v>EXACT</x:v>
      </x:c>
      <x:c r="I222" s="36" t="n">
        <x:v>46248</x:v>
      </x:c>
      <x:c r="J222" s="26" t="str">
        <x:v>Codex/web research</x:v>
      </x:c>
      <x:c r="K222" s="26" t="str">
        <x:v>SCALE_BATCH_01 reviewer gate; official Turkey source.</x:v>
      </x:c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 t="str">
        <x:v>AST-000222</x:v>
      </x:c>
      <x:c r="B223" s="26" t="str">
        <x:v>TECHNICAL_FACT</x:v>
      </x:c>
      <x:c r="C223" s="26" t="str">
        <x:v>FAC-000129</x:v>
      </x:c>
      <x:c r="D223" s="26" t="str">
        <x:v>SRC-000035</x:v>
      </x:c>
      <x:c r="E223" s="26" t="str">
        <x:v>engine_displacement_cc</x:v>
      </x:c>
      <x:c r="F223" s="26" t="str">
        <x:v>MANUAL</x:v>
      </x:c>
      <x:c r="G223" s="26" t="str">
        <x:v>VERIFIED</x:v>
      </x:c>
      <x:c r="H223" s="26" t="str">
        <x:v>EXACT</x:v>
      </x:c>
      <x:c r="I223" s="36" t="n">
        <x:v>46248</x:v>
      </x:c>
      <x:c r="J223" s="26" t="str">
        <x:v>Codex/web research</x:v>
      </x:c>
      <x:c r="K223" s="26" t="str">
        <x:v>SCALE_BATCH_01 reviewer gate; official Turkey source.</x:v>
      </x:c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 t="str">
        <x:v>AST-000223</x:v>
      </x:c>
      <x:c r="B224" s="26" t="str">
        <x:v>TECHNICAL_FACT</x:v>
      </x:c>
      <x:c r="C224" s="26" t="str">
        <x:v>FAC-000130</x:v>
      </x:c>
      <x:c r="D224" s="26" t="str">
        <x:v>SRC-000035</x:v>
      </x:c>
      <x:c r="E224" s="26" t="str">
        <x:v>power_kw</x:v>
      </x:c>
      <x:c r="F224" s="26" t="str">
        <x:v>MANUAL</x:v>
      </x:c>
      <x:c r="G224" s="26" t="str">
        <x:v>VERIFIED</x:v>
      </x:c>
      <x:c r="H224" s="26" t="str">
        <x:v>EXACT</x:v>
      </x:c>
      <x:c r="I224" s="36" t="n">
        <x:v>46248</x:v>
      </x:c>
      <x:c r="J224" s="26" t="str">
        <x:v>Codex/web research</x:v>
      </x:c>
      <x:c r="K224" s="26" t="str">
        <x:v>SCALE_BATCH_01 reviewer gate; official Turkey source.</x:v>
      </x:c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 t="str">
        <x:v>AST-000224</x:v>
      </x:c>
      <x:c r="B225" s="26" t="str">
        <x:v>TECHNICAL_FACT</x:v>
      </x:c>
      <x:c r="C225" s="26" t="str">
        <x:v>FAC-000131</x:v>
      </x:c>
      <x:c r="D225" s="26" t="str">
        <x:v>SRC-000035</x:v>
      </x:c>
      <x:c r="E225" s="26" t="str">
        <x:v>torque_nm</x:v>
      </x:c>
      <x:c r="F225" s="26" t="str">
        <x:v>MANUAL</x:v>
      </x:c>
      <x:c r="G225" s="26" t="str">
        <x:v>VERIFIED</x:v>
      </x:c>
      <x:c r="H225" s="26" t="str">
        <x:v>EXACT</x:v>
      </x:c>
      <x:c r="I225" s="36" t="n">
        <x:v>46248</x:v>
      </x:c>
      <x:c r="J225" s="26" t="str">
        <x:v>Codex/web research</x:v>
      </x:c>
      <x:c r="K225" s="26" t="str">
        <x:v>SCALE_BATCH_01 reviewer gate; official Turkey source.</x:v>
      </x:c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 t="str">
        <x:v>AST-000225</x:v>
      </x:c>
      <x:c r="B226" s="26" t="str">
        <x:v>TECHNICAL_FACT</x:v>
      </x:c>
      <x:c r="C226" s="26" t="str">
        <x:v>FAC-000132</x:v>
      </x:c>
      <x:c r="D226" s="26" t="str">
        <x:v>SRC-000035</x:v>
      </x:c>
      <x:c r="E226" s="26" t="str">
        <x:v>engine_displacement_cc</x:v>
      </x:c>
      <x:c r="F226" s="26" t="str">
        <x:v>MANUAL</x:v>
      </x:c>
      <x:c r="G226" s="26" t="str">
        <x:v>VERIFIED</x:v>
      </x:c>
      <x:c r="H226" s="26" t="str">
        <x:v>EXACT</x:v>
      </x:c>
      <x:c r="I226" s="36" t="n">
        <x:v>46248</x:v>
      </x:c>
      <x:c r="J226" s="26" t="str">
        <x:v>Codex/web research</x:v>
      </x:c>
      <x:c r="K226" s="26" t="str">
        <x:v>SCALE_BATCH_01 reviewer gate; official Turkey source.</x:v>
      </x:c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 t="str">
        <x:v>AST-000226</x:v>
      </x:c>
      <x:c r="B227" s="26" t="str">
        <x:v>TECHNICAL_FACT</x:v>
      </x:c>
      <x:c r="C227" s="26" t="str">
        <x:v>FAC-000133</x:v>
      </x:c>
      <x:c r="D227" s="26" t="str">
        <x:v>SRC-000035</x:v>
      </x:c>
      <x:c r="E227" s="26" t="str">
        <x:v>power_kw</x:v>
      </x:c>
      <x:c r="F227" s="26" t="str">
        <x:v>MANUAL</x:v>
      </x:c>
      <x:c r="G227" s="26" t="str">
        <x:v>VERIFIED</x:v>
      </x:c>
      <x:c r="H227" s="26" t="str">
        <x:v>EXACT</x:v>
      </x:c>
      <x:c r="I227" s="36" t="n">
        <x:v>46248</x:v>
      </x:c>
      <x:c r="J227" s="26" t="str">
        <x:v>Codex/web research</x:v>
      </x:c>
      <x:c r="K227" s="26" t="str">
        <x:v>SCALE_BATCH_01 reviewer gate; official Turkey source.</x:v>
      </x:c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 t="str">
        <x:v>AST-000227</x:v>
      </x:c>
      <x:c r="B228" s="26" t="str">
        <x:v>TECHNICAL_FACT</x:v>
      </x:c>
      <x:c r="C228" s="26" t="str">
        <x:v>FAC-000134</x:v>
      </x:c>
      <x:c r="D228" s="26" t="str">
        <x:v>SRC-000035</x:v>
      </x:c>
      <x:c r="E228" s="26" t="str">
        <x:v>official_electric_range</x:v>
      </x:c>
      <x:c r="F228" s="26" t="str">
        <x:v>MANUAL</x:v>
      </x:c>
      <x:c r="G228" s="26" t="str">
        <x:v>VERIFIED</x:v>
      </x:c>
      <x:c r="H228" s="26" t="str">
        <x:v>EXACT</x:v>
      </x:c>
      <x:c r="I228" s="36" t="n">
        <x:v>46248</x:v>
      </x:c>
      <x:c r="J228" s="26" t="str">
        <x:v>Codex/web research</x:v>
      </x:c>
      <x:c r="K228" s="26" t="str">
        <x:v>Structured numeric range preserved from official source.</x:v>
      </x:c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 t="str">
        <x:v>AST-000228</x:v>
      </x:c>
      <x:c r="B229" s="26" t="str">
        <x:v>TECHNICAL_FACT</x:v>
      </x:c>
      <x:c r="C229" s="26" t="str">
        <x:v>FAC-000135</x:v>
      </x:c>
      <x:c r="D229" s="26" t="str">
        <x:v>SRC-000036</x:v>
      </x:c>
      <x:c r="E229" s="26" t="str">
        <x:v>engine_displacement_cc</x:v>
      </x:c>
      <x:c r="F229" s="26" t="str">
        <x:v>MANUAL</x:v>
      </x:c>
      <x:c r="G229" s="26" t="str">
        <x:v>VERIFIED</x:v>
      </x:c>
      <x:c r="H229" s="26" t="str">
        <x:v>EXACT</x:v>
      </x:c>
      <x:c r="I229" s="36" t="n">
        <x:v>46248</x:v>
      </x:c>
      <x:c r="J229" s="26" t="str">
        <x:v>Codex/web research</x:v>
      </x:c>
      <x:c r="K229" s="26" t="str">
        <x:v>SCALE_BATCH_01 reviewer gate; official Turkey source.</x:v>
      </x:c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 t="str">
        <x:v>AST-000229</x:v>
      </x:c>
      <x:c r="B230" s="26" t="str">
        <x:v>TECHNICAL_FACT</x:v>
      </x:c>
      <x:c r="C230" s="26" t="str">
        <x:v>FAC-000136</x:v>
      </x:c>
      <x:c r="D230" s="26" t="str">
        <x:v>SRC-000036</x:v>
      </x:c>
      <x:c r="E230" s="26" t="str">
        <x:v>power_kw</x:v>
      </x:c>
      <x:c r="F230" s="26" t="str">
        <x:v>MANUAL</x:v>
      </x:c>
      <x:c r="G230" s="26" t="str">
        <x:v>VERIFIED</x:v>
      </x:c>
      <x:c r="H230" s="26" t="str">
        <x:v>EXACT</x:v>
      </x:c>
      <x:c r="I230" s="36" t="n">
        <x:v>46248</x:v>
      </x:c>
      <x:c r="J230" s="26" t="str">
        <x:v>Codex/web research</x:v>
      </x:c>
      <x:c r="K230" s="26" t="str">
        <x:v>SCALE_BATCH_01 reviewer gate; official Turkey source.</x:v>
      </x:c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 t="str">
        <x:v>AST-000230</x:v>
      </x:c>
      <x:c r="B231" s="26" t="str">
        <x:v>TECHNICAL_FACT</x:v>
      </x:c>
      <x:c r="C231" s="26" t="str">
        <x:v>FAC-000137</x:v>
      </x:c>
      <x:c r="D231" s="26" t="str">
        <x:v>SRC-000036</x:v>
      </x:c>
      <x:c r="E231" s="26" t="str">
        <x:v>torque_nm</x:v>
      </x:c>
      <x:c r="F231" s="26" t="str">
        <x:v>MANUAL</x:v>
      </x:c>
      <x:c r="G231" s="26" t="str">
        <x:v>VERIFIED</x:v>
      </x:c>
      <x:c r="H231" s="26" t="str">
        <x:v>EXACT</x:v>
      </x:c>
      <x:c r="I231" s="36" t="n">
        <x:v>46248</x:v>
      </x:c>
      <x:c r="J231" s="26" t="str">
        <x:v>Codex/web research</x:v>
      </x:c>
      <x:c r="K231" s="26" t="str">
        <x:v>SCALE_BATCH_01 reviewer gate; official Turkey source.</x:v>
      </x:c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 t="str">
        <x:v>AST-000231</x:v>
      </x:c>
      <x:c r="B232" s="26" t="str">
        <x:v>TECHNICAL_FACT</x:v>
      </x:c>
      <x:c r="C232" s="26" t="str">
        <x:v>FAC-000138</x:v>
      </x:c>
      <x:c r="D232" s="26" t="str">
        <x:v>SRC-000036</x:v>
      </x:c>
      <x:c r="E232" s="26" t="str">
        <x:v>length_mm</x:v>
      </x:c>
      <x:c r="F232" s="26" t="str">
        <x:v>MANUAL</x:v>
      </x:c>
      <x:c r="G232" s="26" t="str">
        <x:v>VERIFIED</x:v>
      </x:c>
      <x:c r="H232" s="26" t="str">
        <x:v>EXACT</x:v>
      </x:c>
      <x:c r="I232" s="36" t="n">
        <x:v>46248</x:v>
      </x:c>
      <x:c r="J232" s="26" t="str">
        <x:v>Codex/web research</x:v>
      </x:c>
      <x:c r="K232" s="26" t="str">
        <x:v>SCALE_BATCH_01 reviewer gate; official Turkey source.</x:v>
      </x:c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 t="str">
        <x:v>AST-000232</x:v>
      </x:c>
      <x:c r="B233" s="26" t="str">
        <x:v>TECHNICAL_FACT</x:v>
      </x:c>
      <x:c r="C233" s="26" t="str">
        <x:v>FAC-000139</x:v>
      </x:c>
      <x:c r="D233" s="26" t="str">
        <x:v>SRC-000036</x:v>
      </x:c>
      <x:c r="E233" s="26" t="str">
        <x:v>width_mm</x:v>
      </x:c>
      <x:c r="F233" s="26" t="str">
        <x:v>MANUAL</x:v>
      </x:c>
      <x:c r="G233" s="26" t="str">
        <x:v>VERIFIED</x:v>
      </x:c>
      <x:c r="H233" s="26" t="str">
        <x:v>EXACT</x:v>
      </x:c>
      <x:c r="I233" s="36" t="n">
        <x:v>46248</x:v>
      </x:c>
      <x:c r="J233" s="26" t="str">
        <x:v>Codex/web research</x:v>
      </x:c>
      <x:c r="K233" s="26" t="str">
        <x:v>SCALE_BATCH_01 reviewer gate; official Turkey source.</x:v>
      </x:c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 t="str">
        <x:v>AST-000233</x:v>
      </x:c>
      <x:c r="B234" s="26" t="str">
        <x:v>TECHNICAL_FACT</x:v>
      </x:c>
      <x:c r="C234" s="26" t="str">
        <x:v>FAC-000140</x:v>
      </x:c>
      <x:c r="D234" s="26" t="str">
        <x:v>SRC-000036</x:v>
      </x:c>
      <x:c r="E234" s="26" t="str">
        <x:v>height_mm</x:v>
      </x:c>
      <x:c r="F234" s="26" t="str">
        <x:v>MANUAL</x:v>
      </x:c>
      <x:c r="G234" s="26" t="str">
        <x:v>VERIFIED</x:v>
      </x:c>
      <x:c r="H234" s="26" t="str">
        <x:v>EXACT</x:v>
      </x:c>
      <x:c r="I234" s="36" t="n">
        <x:v>46248</x:v>
      </x:c>
      <x:c r="J234" s="26" t="str">
        <x:v>Codex/web research</x:v>
      </x:c>
      <x:c r="K234" s="26" t="str">
        <x:v>SCALE_BATCH_01 reviewer gate; official Turkey source.</x:v>
      </x:c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 t="str">
        <x:v>AST-000234</x:v>
      </x:c>
      <x:c r="B235" s="26" t="str">
        <x:v>TECHNICAL_FACT</x:v>
      </x:c>
      <x:c r="C235" s="26" t="str">
        <x:v>FAC-000141</x:v>
      </x:c>
      <x:c r="D235" s="26" t="str">
        <x:v>SRC-000036</x:v>
      </x:c>
      <x:c r="E235" s="26" t="str">
        <x:v>wheelbase_mm</x:v>
      </x:c>
      <x:c r="F235" s="26" t="str">
        <x:v>MANUAL</x:v>
      </x:c>
      <x:c r="G235" s="26" t="str">
        <x:v>VERIFIED</x:v>
      </x:c>
      <x:c r="H235" s="26" t="str">
        <x:v>EXACT</x:v>
      </x:c>
      <x:c r="I235" s="36" t="n">
        <x:v>46248</x:v>
      </x:c>
      <x:c r="J235" s="26" t="str">
        <x:v>Codex/web research</x:v>
      </x:c>
      <x:c r="K235" s="26" t="str">
        <x:v>SCALE_BATCH_01 reviewer gate; official Turkey source.</x:v>
      </x:c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 t="str">
        <x:v>AST-000235</x:v>
      </x:c>
      <x:c r="B236" s="26" t="str">
        <x:v>TECHNICAL_FACT</x:v>
      </x:c>
      <x:c r="C236" s="26" t="str">
        <x:v>FAC-000142</x:v>
      </x:c>
      <x:c r="D236" s="26" t="str">
        <x:v>SRC-000036</x:v>
      </x:c>
      <x:c r="E236" s="26" t="str">
        <x:v>cargo_volume_l</x:v>
      </x:c>
      <x:c r="F236" s="26" t="str">
        <x:v>MANUAL</x:v>
      </x:c>
      <x:c r="G236" s="26" t="str">
        <x:v>VERIFIED</x:v>
      </x:c>
      <x:c r="H236" s="26" t="str">
        <x:v>EXACT</x:v>
      </x:c>
      <x:c r="I236" s="36" t="n">
        <x:v>46248</x:v>
      </x:c>
      <x:c r="J236" s="26" t="str">
        <x:v>Codex/web research</x:v>
      </x:c>
      <x:c r="K236" s="26" t="str">
        <x:v>SCALE_BATCH_01 reviewer gate; official Turkey source.</x:v>
      </x:c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 t="str">
        <x:v>AST-000236</x:v>
      </x:c>
      <x:c r="B237" s="26" t="str">
        <x:v>TECHNICAL_FACT</x:v>
      </x:c>
      <x:c r="C237" s="26" t="str">
        <x:v>FAC-000143</x:v>
      </x:c>
      <x:c r="D237" s="26" t="str">
        <x:v>SRC-000036</x:v>
      </x:c>
      <x:c r="E237" s="26" t="str">
        <x:v>official_fuel_consumption_combined</x:v>
      </x:c>
      <x:c r="F237" s="26" t="str">
        <x:v>MANUAL</x:v>
      </x:c>
      <x:c r="G237" s="26" t="str">
        <x:v>VERIFIED</x:v>
      </x:c>
      <x:c r="H237" s="26" t="str">
        <x:v>EXACT</x:v>
      </x:c>
      <x:c r="I237" s="36" t="n">
        <x:v>46248</x:v>
      </x:c>
      <x:c r="J237" s="26" t="str">
        <x:v>Codex/web research</x:v>
      </x:c>
      <x:c r="K237" s="26" t="str">
        <x:v>SCALE_BATCH_01 reviewer gate; official Turkey source.</x:v>
      </x:c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 t="str">
        <x:v>AST-000237</x:v>
      </x:c>
      <x:c r="B238" s="26" t="str">
        <x:v>TECHNICAL_FACT</x:v>
      </x:c>
      <x:c r="C238" s="26" t="str">
        <x:v>FAC-000144</x:v>
      </x:c>
      <x:c r="D238" s="26" t="str">
        <x:v>SRC-000037</x:v>
      </x:c>
      <x:c r="E238" s="26" t="str">
        <x:v>power_kw</x:v>
      </x:c>
      <x:c r="F238" s="26" t="str">
        <x:v>MANUAL</x:v>
      </x:c>
      <x:c r="G238" s="26" t="str">
        <x:v>VERIFIED</x:v>
      </x:c>
      <x:c r="H238" s="26" t="str">
        <x:v>EXACT</x:v>
      </x:c>
      <x:c r="I238" s="36" t="n">
        <x:v>46248</x:v>
      </x:c>
      <x:c r="J238" s="26" t="str">
        <x:v>Codex/web research</x:v>
      </x:c>
      <x:c r="K238" s="26" t="str">
        <x:v>SCALE_BATCH_01 reviewer gate; official Turkey source.</x:v>
      </x:c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 t="str">
        <x:v>AST-000238</x:v>
      </x:c>
      <x:c r="B239" s="26" t="str">
        <x:v>TECHNICAL_FACT</x:v>
      </x:c>
      <x:c r="C239" s="26" t="str">
        <x:v>FAC-000145</x:v>
      </x:c>
      <x:c r="D239" s="26" t="str">
        <x:v>SRC-000037</x:v>
      </x:c>
      <x:c r="E239" s="26" t="str">
        <x:v>torque_nm</x:v>
      </x:c>
      <x:c r="F239" s="26" t="str">
        <x:v>MANUAL</x:v>
      </x:c>
      <x:c r="G239" s="26" t="str">
        <x:v>VERIFIED</x:v>
      </x:c>
      <x:c r="H239" s="26" t="str">
        <x:v>EXACT</x:v>
      </x:c>
      <x:c r="I239" s="36" t="n">
        <x:v>46248</x:v>
      </x:c>
      <x:c r="J239" s="26" t="str">
        <x:v>Codex/web research</x:v>
      </x:c>
      <x:c r="K239" s="26" t="str">
        <x:v>SCALE_BATCH_01 reviewer gate; official Turkey source.</x:v>
      </x:c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 t="str">
        <x:v>AST-000239</x:v>
      </x:c>
      <x:c r="B240" s="26" t="str">
        <x:v>TECHNICAL_FACT</x:v>
      </x:c>
      <x:c r="C240" s="26" t="str">
        <x:v>FAC-000146</x:v>
      </x:c>
      <x:c r="D240" s="26" t="str">
        <x:v>SRC-000037</x:v>
      </x:c>
      <x:c r="E240" s="26" t="str">
        <x:v>battery_capacity_reported_kwh</x:v>
      </x:c>
      <x:c r="F240" s="26" t="str">
        <x:v>MANUAL</x:v>
      </x:c>
      <x:c r="G240" s="26" t="str">
        <x:v>VERIFIED</x:v>
      </x:c>
      <x:c r="H240" s="26" t="str">
        <x:v>EXACT</x:v>
      </x:c>
      <x:c r="I240" s="36" t="n">
        <x:v>46248</x:v>
      </x:c>
      <x:c r="J240" s="26" t="str">
        <x:v>Codex/web research</x:v>
      </x:c>
      <x:c r="K240" s="26" t="str">
        <x:v>SCALE_BATCH_01 reviewer gate; official Turkey source.</x:v>
      </x:c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 t="str">
        <x:v>AST-000240</x:v>
      </x:c>
      <x:c r="B241" s="26" t="str">
        <x:v>TECHNICAL_FACT</x:v>
      </x:c>
      <x:c r="C241" s="26" t="str">
        <x:v>FAC-000147</x:v>
      </x:c>
      <x:c r="D241" s="26" t="str">
        <x:v>SRC-000037</x:v>
      </x:c>
      <x:c r="E241" s="26" t="str">
        <x:v>official_electric_range</x:v>
      </x:c>
      <x:c r="F241" s="26" t="str">
        <x:v>MANUAL</x:v>
      </x:c>
      <x:c r="G241" s="26" t="str">
        <x:v>VERIFIED</x:v>
      </x:c>
      <x:c r="H241" s="26" t="str">
        <x:v>EXACT</x:v>
      </x:c>
      <x:c r="I241" s="36" t="n">
        <x:v>46248</x:v>
      </x:c>
      <x:c r="J241" s="26" t="str">
        <x:v>Codex/web research</x:v>
      </x:c>
      <x:c r="K241" s="26" t="str">
        <x:v>SCALE_BATCH_01 reviewer gate; official Turkey source.</x:v>
      </x:c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 t="str">
        <x:v>AST-000241</x:v>
      </x:c>
      <x:c r="B242" s="26" t="str">
        <x:v>TECHNICAL_FACT</x:v>
      </x:c>
      <x:c r="C242" s="26" t="str">
        <x:v>FAC-000148</x:v>
      </x:c>
      <x:c r="D242" s="26" t="str">
        <x:v>SRC-000037</x:v>
      </x:c>
      <x:c r="E242" s="26" t="str">
        <x:v>official_energy_consumption_combined</x:v>
      </x:c>
      <x:c r="F242" s="26" t="str">
        <x:v>MANUAL</x:v>
      </x:c>
      <x:c r="G242" s="26" t="str">
        <x:v>VERIFIED</x:v>
      </x:c>
      <x:c r="H242" s="26" t="str">
        <x:v>EXACT</x:v>
      </x:c>
      <x:c r="I242" s="36" t="n">
        <x:v>46248</x:v>
      </x:c>
      <x:c r="J242" s="26" t="str">
        <x:v>Codex/web research</x:v>
      </x:c>
      <x:c r="K242" s="26" t="str">
        <x:v>SCALE_BATCH_01 reviewer gate; official Turkey source.</x:v>
      </x:c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 t="str">
        <x:v>AST-000242</x:v>
      </x:c>
      <x:c r="B243" s="26" t="str">
        <x:v>TECHNICAL_FACT</x:v>
      </x:c>
      <x:c r="C243" s="26" t="str">
        <x:v>FAC-000149</x:v>
      </x:c>
      <x:c r="D243" s="26" t="str">
        <x:v>SRC-000037</x:v>
      </x:c>
      <x:c r="E243" s="26" t="str">
        <x:v>Motor Özellikleri / DC şarj</x:v>
      </x:c>
      <x:c r="F243" s="26" t="str">
        <x:v>MANUAL</x:v>
      </x:c>
      <x:c r="G243" s="26" t="str">
        <x:v>VERIFIED</x:v>
      </x:c>
      <x:c r="H243" s="26" t="str">
        <x:v>EXACT</x:v>
      </x:c>
      <x:c r="I243" s="36" t="n">
        <x:v>46248</x:v>
      </x:c>
      <x:c r="J243" s="26" t="str">
        <x:v>Codex/web research</x:v>
      </x:c>
      <x:c r="K243" s="26" t="str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 t="str">
        <x:v>AST-000243</x:v>
      </x:c>
      <x:c r="B244" s="26" t="str">
        <x:v>TECHNICAL_FACT</x:v>
      </x:c>
      <x:c r="C244" s="26" t="str">
        <x:v>FAC-000150</x:v>
      </x:c>
      <x:c r="D244" s="26" t="str">
        <x:v>SRC-000038</x:v>
      </x:c>
      <x:c r="E244" s="26" t="str">
        <x:v>engine_displacement_cc</x:v>
      </x:c>
      <x:c r="F244" s="26" t="str">
        <x:v>MANUAL</x:v>
      </x:c>
      <x:c r="G244" s="26" t="str">
        <x:v>VERIFIED</x:v>
      </x:c>
      <x:c r="H244" s="26" t="str">
        <x:v>EXACT</x:v>
      </x:c>
      <x:c r="I244" s="36" t="n">
        <x:v>46248</x:v>
      </x:c>
      <x:c r="J244" s="26" t="str">
        <x:v>Codex/web research</x:v>
      </x:c>
      <x:c r="K244" s="26" t="str">
        <x:v>SCALE_BATCH_01 reviewer gate; official Turkey source.</x:v>
      </x:c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 t="str">
        <x:v>AST-000244</x:v>
      </x:c>
      <x:c r="B245" s="26" t="str">
        <x:v>TECHNICAL_FACT</x:v>
      </x:c>
      <x:c r="C245" s="26" t="str">
        <x:v>FAC-000151</x:v>
      </x:c>
      <x:c r="D245" s="26" t="str">
        <x:v>SRC-000038</x:v>
      </x:c>
      <x:c r="E245" s="26" t="str">
        <x:v>power_kw</x:v>
      </x:c>
      <x:c r="F245" s="26" t="str">
        <x:v>MANUAL</x:v>
      </x:c>
      <x:c r="G245" s="26" t="str">
        <x:v>VERIFIED</x:v>
      </x:c>
      <x:c r="H245" s="26" t="str">
        <x:v>EXACT</x:v>
      </x:c>
      <x:c r="I245" s="36" t="n">
        <x:v>46248</x:v>
      </x:c>
      <x:c r="J245" s="26" t="str">
        <x:v>Codex/web research</x:v>
      </x:c>
      <x:c r="K245" s="26" t="str">
        <x:v>SCALE_BATCH_01 reviewer gate; official Turkey source.</x:v>
      </x:c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 t="str">
        <x:v>AST-000245</x:v>
      </x:c>
      <x:c r="B246" s="26" t="str">
        <x:v>TECHNICAL_FACT</x:v>
      </x:c>
      <x:c r="C246" s="26" t="str">
        <x:v>FAC-000152</x:v>
      </x:c>
      <x:c r="D246" s="26" t="str">
        <x:v>SRC-000038</x:v>
      </x:c>
      <x:c r="E246" s="26" t="str">
        <x:v>torque_nm</x:v>
      </x:c>
      <x:c r="F246" s="26" t="str">
        <x:v>MANUAL</x:v>
      </x:c>
      <x:c r="G246" s="26" t="str">
        <x:v>VERIFIED</x:v>
      </x:c>
      <x:c r="H246" s="26" t="str">
        <x:v>EXACT</x:v>
      </x:c>
      <x:c r="I246" s="36" t="n">
        <x:v>46248</x:v>
      </x:c>
      <x:c r="J246" s="26" t="str">
        <x:v>Codex/web research</x:v>
      </x:c>
      <x:c r="K246" s="26" t="str">
        <x:v>SCALE_BATCH_01 reviewer gate; official Turkey source.</x:v>
      </x:c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 t="str">
        <x:v>AST-000246</x:v>
      </x:c>
      <x:c r="B247" s="26" t="str">
        <x:v>TECHNICAL_FACT</x:v>
      </x:c>
      <x:c r="C247" s="26" t="str">
        <x:v>FAC-000153</x:v>
      </x:c>
      <x:c r="D247" s="26" t="str">
        <x:v>SRC-000042</x:v>
      </x:c>
      <x:c r="E247" s="26" t="str">
        <x:v>technical specifications p.2</x:v>
      </x:c>
      <x:c r="F247" s="26" t="str">
        <x:v>MANUAL</x:v>
      </x:c>
      <x:c r="G247" s="26" t="str">
        <x:v>VERIFIED</x:v>
      </x:c>
      <x:c r="H247" s="26" t="str">
        <x:v>EXACT</x:v>
      </x:c>
      <x:c r="I247" s="36" t="n">
        <x:v>46248</x:v>
      </x:c>
      <x:c r="J247" s="26" t="str">
        <x:v>Codex/web research</x:v>
      </x:c>
      <x:c r="K247" s="26" t="str">
        <x:v>POST_BATCH01_HARDENING reviewer gate; exact official Turkey Forester 2.0i Style technical sheet.</x:v>
      </x:c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 t="str">
        <x:v>AST-000247</x:v>
      </x:c>
      <x:c r="B248" s="26" t="str">
        <x:v>TECHNICAL_FACT</x:v>
      </x:c>
      <x:c r="C248" s="26" t="str">
        <x:v>FAC-000154</x:v>
      </x:c>
      <x:c r="D248" s="26" t="str">
        <x:v>SRC-000040</x:v>
      </x:c>
      <x:c r="E248" s="26" t="str">
        <x:v>engine_displacement_cc</x:v>
      </x:c>
      <x:c r="F248" s="26" t="str">
        <x:v>MANUAL</x:v>
      </x:c>
      <x:c r="G248" s="26" t="str">
        <x:v>VERIFIED</x:v>
      </x:c>
      <x:c r="H248" s="26" t="str">
        <x:v>EXACT</x:v>
      </x:c>
      <x:c r="I248" s="36" t="n">
        <x:v>46248</x:v>
      </x:c>
      <x:c r="J248" s="26" t="str">
        <x:v>Codex/web research</x:v>
      </x:c>
      <x:c r="K248" s="26" t="str">
        <x:v>POST_BATCH01_HARDENING reviewer gate; official Turkey Scala model/comparison evidence.</x:v>
      </x:c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 t="str">
        <x:v>AST-000248</x:v>
      </x:c>
      <x:c r="B249" s="26" t="str">
        <x:v>TECHNICAL_FACT</x:v>
      </x:c>
      <x:c r="C249" s="26" t="str">
        <x:v>FAC-000155</x:v>
      </x:c>
      <x:c r="D249" s="26" t="str">
        <x:v>SRC-000040</x:v>
      </x:c>
      <x:c r="E249" s="26" t="str">
        <x:v>power_kw</x:v>
      </x:c>
      <x:c r="F249" s="26" t="str">
        <x:v>MANUAL</x:v>
      </x:c>
      <x:c r="G249" s="26" t="str">
        <x:v>VERIFIED</x:v>
      </x:c>
      <x:c r="H249" s="26" t="str">
        <x:v>EXACT</x:v>
      </x:c>
      <x:c r="I249" s="36" t="n">
        <x:v>46248</x:v>
      </x:c>
      <x:c r="J249" s="26" t="str">
        <x:v>Codex/web research</x:v>
      </x:c>
      <x:c r="K249" s="26" t="str">
        <x:v>POST_BATCH01_HARDENING reviewer gate; official Turkey Scala model/comparison evidence.</x:v>
      </x:c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 t="str">
        <x:v>AST-000249</x:v>
      </x:c>
      <x:c r="B250" s="26" t="str">
        <x:v>TECHNICAL_FACT</x:v>
      </x:c>
      <x:c r="C250" s="26" t="str">
        <x:v>FAC-000156</x:v>
      </x:c>
      <x:c r="D250" s="26" t="str">
        <x:v>SRC-000040</x:v>
      </x:c>
      <x:c r="E250" s="26" t="str">
        <x:v>torque_nm</x:v>
      </x:c>
      <x:c r="F250" s="26" t="str">
        <x:v>MANUAL</x:v>
      </x:c>
      <x:c r="G250" s="26" t="str">
        <x:v>VERIFIED</x:v>
      </x:c>
      <x:c r="H250" s="26" t="str">
        <x:v>EXACT</x:v>
      </x:c>
      <x:c r="I250" s="36" t="n">
        <x:v>46248</x:v>
      </x:c>
      <x:c r="J250" s="26" t="str">
        <x:v>Codex/web research</x:v>
      </x:c>
      <x:c r="K250" s="26" t="str">
        <x:v>POST_BATCH01_HARDENING reviewer gate; official Turkey Scala model/comparison evidence.</x:v>
      </x:c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 t="str">
        <x:v>AST-000250</x:v>
      </x:c>
      <x:c r="B251" s="26" t="str">
        <x:v>EQUIPMENT_FACT</x:v>
      </x:c>
      <x:c r="C251" s="26" t="str">
        <x:v>EQP-000094</x:v>
      </x:c>
      <x:c r="D251" s="26" t="str">
        <x:v>SRC-000026</x:v>
      </x:c>
      <x:c r="E251" s="26" t="str">
        <x:v>trim equipment: aeb</x:v>
      </x:c>
      <x:c r="F251" s="26" t="str">
        <x:v>MANUAL</x:v>
      </x:c>
      <x:c r="G251" s="26" t="str">
        <x:v>VERIFIED</x:v>
      </x:c>
      <x:c r="H251" s="26" t="str">
        <x:v>EXACT</x:v>
      </x:c>
      <x:c r="I251" s="36" t="n">
        <x:v>46248</x:v>
      </x:c>
      <x:c r="J251" s="26" t="str">
        <x:v>Codex/web research</x:v>
      </x:c>
      <x:c r="K251" s="26" t="str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 t="str">
        <x:v>AST-000251</x:v>
      </x:c>
      <x:c r="B252" s="26" t="str">
        <x:v>EQUIPMENT_FACT</x:v>
      </x:c>
      <x:c r="C252" s="26" t="str">
        <x:v>EQP-000095</x:v>
      </x:c>
      <x:c r="D252" s="26" t="str">
        <x:v>SRC-000026</x:v>
      </x:c>
      <x:c r="E252" s="26" t="str">
        <x:v>trim equipment: lane_keep_assist</x:v>
      </x:c>
      <x:c r="F252" s="26" t="str">
        <x:v>MANUAL</x:v>
      </x:c>
      <x:c r="G252" s="26" t="str">
        <x:v>VERIFIED</x:v>
      </x:c>
      <x:c r="H252" s="26" t="str">
        <x:v>EXACT</x:v>
      </x:c>
      <x:c r="I252" s="36" t="n">
        <x:v>46248</x:v>
      </x:c>
      <x:c r="J252" s="26" t="str">
        <x:v>Codex/web research</x:v>
      </x:c>
      <x:c r="K252" s="26" t="str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 t="str">
        <x:v>AST-000252</x:v>
      </x:c>
      <x:c r="B253" s="26" t="str">
        <x:v>EQUIPMENT_FACT</x:v>
      </x:c>
      <x:c r="C253" s="26" t="str">
        <x:v>EQP-000096</x:v>
      </x:c>
      <x:c r="D253" s="26" t="str">
        <x:v>SRC-000026</x:v>
      </x:c>
      <x:c r="E253" s="26" t="str">
        <x:v>trim equipment: parking_sensors_rear</x:v>
      </x:c>
      <x:c r="F253" s="26" t="str">
        <x:v>MANUAL</x:v>
      </x:c>
      <x:c r="G253" s="26" t="str">
        <x:v>VERIFIED</x:v>
      </x:c>
      <x:c r="H253" s="26" t="str">
        <x:v>EXACT</x:v>
      </x:c>
      <x:c r="I253" s="36" t="n">
        <x:v>46248</x:v>
      </x:c>
      <x:c r="J253" s="26" t="str">
        <x:v>Codex/web research</x:v>
      </x:c>
      <x:c r="K253" s="26" t="str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 t="str">
        <x:v>AST-000253</x:v>
      </x:c>
      <x:c r="B254" s="26" t="str">
        <x:v>EQUIPMENT_FACT</x:v>
      </x:c>
      <x:c r="C254" s="26" t="str">
        <x:v>EQP-000097</x:v>
      </x:c>
      <x:c r="D254" s="26" t="str">
        <x:v>SRC-000026</x:v>
      </x:c>
      <x:c r="E254" s="26" t="str">
        <x:v>trim equipment: reversing_camera</x:v>
      </x:c>
      <x:c r="F254" s="26" t="str">
        <x:v>MANUAL</x:v>
      </x:c>
      <x:c r="G254" s="26" t="str">
        <x:v>VERIFIED</x:v>
      </x:c>
      <x:c r="H254" s="26" t="str">
        <x:v>EXACT</x:v>
      </x:c>
      <x:c r="I254" s="36" t="n">
        <x:v>46248</x:v>
      </x:c>
      <x:c r="J254" s="26" t="str">
        <x:v>Codex/web research</x:v>
      </x:c>
      <x:c r="K254" s="26" t="str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 t="str">
        <x:v>AST-000254</x:v>
      </x:c>
      <x:c r="B255" s="26" t="str">
        <x:v>EQUIPMENT_FACT</x:v>
      </x:c>
      <x:c r="C255" s="26" t="str">
        <x:v>EQP-000098</x:v>
      </x:c>
      <x:c r="D255" s="26" t="str">
        <x:v>SRC-000026</x:v>
      </x:c>
      <x:c r="E255" s="26" t="str">
        <x:v>trim equipment: apple_carplay</x:v>
      </x:c>
      <x:c r="F255" s="26" t="str">
        <x:v>MANUAL</x:v>
      </x:c>
      <x:c r="G255" s="26" t="str">
        <x:v>VERIFIED</x:v>
      </x:c>
      <x:c r="H255" s="26" t="str">
        <x:v>EXACT</x:v>
      </x:c>
      <x:c r="I255" s="36" t="n">
        <x:v>46248</x:v>
      </x:c>
      <x:c r="J255" s="26" t="str">
        <x:v>Codex/web research</x:v>
      </x:c>
      <x:c r="K255" s="26" t="str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 t="str">
        <x:v>AST-000255</x:v>
      </x:c>
      <x:c r="B256" s="26" t="str">
        <x:v>EQUIPMENT_FACT</x:v>
      </x:c>
      <x:c r="C256" s="26" t="str">
        <x:v>EQP-000099</x:v>
      </x:c>
      <x:c r="D256" s="26" t="str">
        <x:v>SRC-000026</x:v>
      </x:c>
      <x:c r="E256" s="26" t="str">
        <x:v>trim equipment: android_auto</x:v>
      </x:c>
      <x:c r="F256" s="26" t="str">
        <x:v>MANUAL</x:v>
      </x:c>
      <x:c r="G256" s="26" t="str">
        <x:v>VERIFIED</x:v>
      </x:c>
      <x:c r="H256" s="26" t="str">
        <x:v>EXACT</x:v>
      </x:c>
      <x:c r="I256" s="36" t="n">
        <x:v>46248</x:v>
      </x:c>
      <x:c r="J256" s="26" t="str">
        <x:v>Codex/web research</x:v>
      </x:c>
      <x:c r="K256" s="26" t="str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 t="str">
        <x:v>AST-000256</x:v>
      </x:c>
      <x:c r="B257" s="26" t="str">
        <x:v>EQUIPMENT_FACT</x:v>
      </x:c>
      <x:c r="C257" s="26" t="str">
        <x:v>EQP-000100</x:v>
      </x:c>
      <x:c r="D257" s="26" t="str">
        <x:v>SRC-000026</x:v>
      </x:c>
      <x:c r="E257" s="26" t="str">
        <x:v>trim equipment: aeb</x:v>
      </x:c>
      <x:c r="F257" s="26" t="str">
        <x:v>MANUAL</x:v>
      </x:c>
      <x:c r="G257" s="26" t="str">
        <x:v>VERIFIED</x:v>
      </x:c>
      <x:c r="H257" s="26" t="str">
        <x:v>EXACT</x:v>
      </x:c>
      <x:c r="I257" s="36" t="n">
        <x:v>46248</x:v>
      </x:c>
      <x:c r="J257" s="26" t="str">
        <x:v>Codex/web research</x:v>
      </x:c>
      <x:c r="K257" s="26" t="str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 t="str">
        <x:v>AST-000257</x:v>
      </x:c>
      <x:c r="B258" s="26" t="str">
        <x:v>EQUIPMENT_FACT</x:v>
      </x:c>
      <x:c r="C258" s="26" t="str">
        <x:v>EQP-000101</x:v>
      </x:c>
      <x:c r="D258" s="26" t="str">
        <x:v>SRC-000026</x:v>
      </x:c>
      <x:c r="E258" s="26" t="str">
        <x:v>trim equipment: lane_keep_assist</x:v>
      </x:c>
      <x:c r="F258" s="26" t="str">
        <x:v>MANUAL</x:v>
      </x:c>
      <x:c r="G258" s="26" t="str">
        <x:v>VERIFIED</x:v>
      </x:c>
      <x:c r="H258" s="26" t="str">
        <x:v>EXACT</x:v>
      </x:c>
      <x:c r="I258" s="36" t="n">
        <x:v>46248</x:v>
      </x:c>
      <x:c r="J258" s="26" t="str">
        <x:v>Codex/web research</x:v>
      </x:c>
      <x:c r="K258" s="26" t="str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 t="str">
        <x:v>AST-000258</x:v>
      </x:c>
      <x:c r="B259" s="26" t="str">
        <x:v>EQUIPMENT_FACT</x:v>
      </x:c>
      <x:c r="C259" s="26" t="str">
        <x:v>EQP-000102</x:v>
      </x:c>
      <x:c r="D259" s="26" t="str">
        <x:v>SRC-000026</x:v>
      </x:c>
      <x:c r="E259" s="26" t="str">
        <x:v>trim equipment: parking_sensors_rear</x:v>
      </x:c>
      <x:c r="F259" s="26" t="str">
        <x:v>MANUAL</x:v>
      </x:c>
      <x:c r="G259" s="26" t="str">
        <x:v>VERIFIED</x:v>
      </x:c>
      <x:c r="H259" s="26" t="str">
        <x:v>EXACT</x:v>
      </x:c>
      <x:c r="I259" s="36" t="n">
        <x:v>46248</x:v>
      </x:c>
      <x:c r="J259" s="26" t="str">
        <x:v>Codex/web research</x:v>
      </x:c>
      <x:c r="K259" s="26" t="str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 t="str">
        <x:v>AST-000259</x:v>
      </x:c>
      <x:c r="B260" s="26" t="str">
        <x:v>EQUIPMENT_FACT</x:v>
      </x:c>
      <x:c r="C260" s="26" t="str">
        <x:v>EQP-000103</x:v>
      </x:c>
      <x:c r="D260" s="26" t="str">
        <x:v>SRC-000026</x:v>
      </x:c>
      <x:c r="E260" s="26" t="str">
        <x:v>trim equipment: reversing_camera</x:v>
      </x:c>
      <x:c r="F260" s="26" t="str">
        <x:v>MANUAL</x:v>
      </x:c>
      <x:c r="G260" s="26" t="str">
        <x:v>VERIFIED</x:v>
      </x:c>
      <x:c r="H260" s="26" t="str">
        <x:v>EXACT</x:v>
      </x:c>
      <x:c r="I260" s="36" t="n">
        <x:v>46248</x:v>
      </x:c>
      <x:c r="J260" s="26" t="str">
        <x:v>Codex/web research</x:v>
      </x:c>
      <x:c r="K260" s="26" t="str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 t="str">
        <x:v>AST-000260</x:v>
      </x:c>
      <x:c r="B261" s="26" t="str">
        <x:v>EQUIPMENT_FACT</x:v>
      </x:c>
      <x:c r="C261" s="26" t="str">
        <x:v>EQP-000104</x:v>
      </x:c>
      <x:c r="D261" s="26" t="str">
        <x:v>SRC-000026</x:v>
      </x:c>
      <x:c r="E261" s="26" t="str">
        <x:v>trim equipment: apple_carplay</x:v>
      </x:c>
      <x:c r="F261" s="26" t="str">
        <x:v>MANUAL</x:v>
      </x:c>
      <x:c r="G261" s="26" t="str">
        <x:v>VERIFIED</x:v>
      </x:c>
      <x:c r="H261" s="26" t="str">
        <x:v>EXACT</x:v>
      </x:c>
      <x:c r="I261" s="36" t="n">
        <x:v>46248</x:v>
      </x:c>
      <x:c r="J261" s="26" t="str">
        <x:v>Codex/web research</x:v>
      </x:c>
      <x:c r="K261" s="26" t="str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 t="str">
        <x:v>AST-000261</x:v>
      </x:c>
      <x:c r="B262" s="26" t="str">
        <x:v>EQUIPMENT_FACT</x:v>
      </x:c>
      <x:c r="C262" s="26" t="str">
        <x:v>EQP-000105</x:v>
      </x:c>
      <x:c r="D262" s="26" t="str">
        <x:v>SRC-000026</x:v>
      </x:c>
      <x:c r="E262" s="26" t="str">
        <x:v>trim equipment: android_auto</x:v>
      </x:c>
      <x:c r="F262" s="26" t="str">
        <x:v>MANUAL</x:v>
      </x:c>
      <x:c r="G262" s="26" t="str">
        <x:v>VERIFIED</x:v>
      </x:c>
      <x:c r="H262" s="26" t="str">
        <x:v>EXACT</x:v>
      </x:c>
      <x:c r="I262" s="36" t="n">
        <x:v>46248</x:v>
      </x:c>
      <x:c r="J262" s="26" t="str">
        <x:v>Codex/web research</x:v>
      </x:c>
      <x:c r="K262" s="26" t="str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 t="str">
        <x:v>AST-000262</x:v>
      </x:c>
      <x:c r="B263" s="26" t="str">
        <x:v>EQUIPMENT_FACT</x:v>
      </x:c>
      <x:c r="C263" s="26" t="str">
        <x:v>EQP-000106</x:v>
      </x:c>
      <x:c r="D263" s="26" t="str">
        <x:v>SRC-000026</x:v>
      </x:c>
      <x:c r="E263" s="26" t="str">
        <x:v>trim equipment: aeb</x:v>
      </x:c>
      <x:c r="F263" s="26" t="str">
        <x:v>MANUAL</x:v>
      </x:c>
      <x:c r="G263" s="26" t="str">
        <x:v>VERIFIED</x:v>
      </x:c>
      <x:c r="H263" s="26" t="str">
        <x:v>EXACT</x:v>
      </x:c>
      <x:c r="I263" s="36" t="n">
        <x:v>46248</x:v>
      </x:c>
      <x:c r="J263" s="26" t="str">
        <x:v>Codex/web research</x:v>
      </x:c>
      <x:c r="K263" s="26" t="str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 t="str">
        <x:v>AST-000263</x:v>
      </x:c>
      <x:c r="B264" s="26" t="str">
        <x:v>EQUIPMENT_FACT</x:v>
      </x:c>
      <x:c r="C264" s="26" t="str">
        <x:v>EQP-000107</x:v>
      </x:c>
      <x:c r="D264" s="26" t="str">
        <x:v>SRC-000026</x:v>
      </x:c>
      <x:c r="E264" s="26" t="str">
        <x:v>trim equipment: lane_keep_assist</x:v>
      </x:c>
      <x:c r="F264" s="26" t="str">
        <x:v>MANUAL</x:v>
      </x:c>
      <x:c r="G264" s="26" t="str">
        <x:v>VERIFIED</x:v>
      </x:c>
      <x:c r="H264" s="26" t="str">
        <x:v>EXACT</x:v>
      </x:c>
      <x:c r="I264" s="36" t="n">
        <x:v>46248</x:v>
      </x:c>
      <x:c r="J264" s="26" t="str">
        <x:v>Codex/web research</x:v>
      </x:c>
      <x:c r="K264" s="26" t="str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 t="str">
        <x:v>AST-000264</x:v>
      </x:c>
      <x:c r="B265" s="26" t="str">
        <x:v>EQUIPMENT_FACT</x:v>
      </x:c>
      <x:c r="C265" s="26" t="str">
        <x:v>EQP-000108</x:v>
      </x:c>
      <x:c r="D265" s="26" t="str">
        <x:v>SRC-000026</x:v>
      </x:c>
      <x:c r="E265" s="26" t="str">
        <x:v>trim equipment: parking_sensors_rear</x:v>
      </x:c>
      <x:c r="F265" s="26" t="str">
        <x:v>MANUAL</x:v>
      </x:c>
      <x:c r="G265" s="26" t="str">
        <x:v>VERIFIED</x:v>
      </x:c>
      <x:c r="H265" s="26" t="str">
        <x:v>EXACT</x:v>
      </x:c>
      <x:c r="I265" s="36" t="n">
        <x:v>46248</x:v>
      </x:c>
      <x:c r="J265" s="26" t="str">
        <x:v>Codex/web research</x:v>
      </x:c>
      <x:c r="K265" s="26" t="str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 t="str">
        <x:v>AST-000265</x:v>
      </x:c>
      <x:c r="B266" s="26" t="str">
        <x:v>EQUIPMENT_FACT</x:v>
      </x:c>
      <x:c r="C266" s="26" t="str">
        <x:v>EQP-000109</x:v>
      </x:c>
      <x:c r="D266" s="26" t="str">
        <x:v>SRC-000026</x:v>
      </x:c>
      <x:c r="E266" s="26" t="str">
        <x:v>trim equipment: reversing_camera</x:v>
      </x:c>
      <x:c r="F266" s="26" t="str">
        <x:v>MANUAL</x:v>
      </x:c>
      <x:c r="G266" s="26" t="str">
        <x:v>VERIFIED</x:v>
      </x:c>
      <x:c r="H266" s="26" t="str">
        <x:v>EXACT</x:v>
      </x:c>
      <x:c r="I266" s="36" t="n">
        <x:v>46248</x:v>
      </x:c>
      <x:c r="J266" s="26" t="str">
        <x:v>Codex/web research</x:v>
      </x:c>
      <x:c r="K266" s="26" t="str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 t="str">
        <x:v>AST-000266</x:v>
      </x:c>
      <x:c r="B267" s="26" t="str">
        <x:v>EQUIPMENT_FACT</x:v>
      </x:c>
      <x:c r="C267" s="26" t="str">
        <x:v>EQP-000110</x:v>
      </x:c>
      <x:c r="D267" s="26" t="str">
        <x:v>SRC-000026</x:v>
      </x:c>
      <x:c r="E267" s="26" t="str">
        <x:v>trim equipment: apple_carplay</x:v>
      </x:c>
      <x:c r="F267" s="26" t="str">
        <x:v>MANUAL</x:v>
      </x:c>
      <x:c r="G267" s="26" t="str">
        <x:v>VERIFIED</x:v>
      </x:c>
      <x:c r="H267" s="26" t="str">
        <x:v>EXACT</x:v>
      </x:c>
      <x:c r="I267" s="36" t="n">
        <x:v>46248</x:v>
      </x:c>
      <x:c r="J267" s="26" t="str">
        <x:v>Codex/web research</x:v>
      </x:c>
      <x:c r="K267" s="26" t="str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 t="str">
        <x:v>AST-000267</x:v>
      </x:c>
      <x:c r="B268" s="26" t="str">
        <x:v>EQUIPMENT_FACT</x:v>
      </x:c>
      <x:c r="C268" s="26" t="str">
        <x:v>EQP-000111</x:v>
      </x:c>
      <x:c r="D268" s="26" t="str">
        <x:v>SRC-000026</x:v>
      </x:c>
      <x:c r="E268" s="26" t="str">
        <x:v>trim equipment: android_auto</x:v>
      </x:c>
      <x:c r="F268" s="26" t="str">
        <x:v>MANUAL</x:v>
      </x:c>
      <x:c r="G268" s="26" t="str">
        <x:v>VERIFIED</x:v>
      </x:c>
      <x:c r="H268" s="26" t="str">
        <x:v>EXACT</x:v>
      </x:c>
      <x:c r="I268" s="36" t="n">
        <x:v>46248</x:v>
      </x:c>
      <x:c r="J268" s="26" t="str">
        <x:v>Codex/web research</x:v>
      </x:c>
      <x:c r="K268" s="26" t="str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 t="str">
        <x:v>AST-000268</x:v>
      </x:c>
      <x:c r="B269" s="26" t="str">
        <x:v>EQUIPMENT_FACT</x:v>
      </x:c>
      <x:c r="C269" s="26" t="str">
        <x:v>EQP-000112</x:v>
      </x:c>
      <x:c r="D269" s="26" t="str">
        <x:v>SRC-000032</x:v>
      </x:c>
      <x:c r="E269" s="26" t="str">
        <x:v>trim equipment: aeb</x:v>
      </x:c>
      <x:c r="F269" s="26" t="str">
        <x:v>MANUAL</x:v>
      </x:c>
      <x:c r="G269" s="26" t="str">
        <x:v>VERIFIED</x:v>
      </x:c>
      <x:c r="H269" s="26" t="str">
        <x:v>EXACT</x:v>
      </x:c>
      <x:c r="I269" s="36" t="n">
        <x:v>46248</x:v>
      </x:c>
      <x:c r="J269" s="26" t="str">
        <x:v>Codex/web research</x:v>
      </x:c>
      <x:c r="K269" s="26" t="str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 t="str">
        <x:v>AST-000269</x:v>
      </x:c>
      <x:c r="B270" s="26" t="str">
        <x:v>EQUIPMENT_FACT</x:v>
      </x:c>
      <x:c r="C270" s="26" t="str">
        <x:v>EQP-000113</x:v>
      </x:c>
      <x:c r="D270" s="26" t="str">
        <x:v>SRC-000032</x:v>
      </x:c>
      <x:c r="E270" s="26" t="str">
        <x:v>trim equipment: adaptive_cruise_control</x:v>
      </x:c>
      <x:c r="F270" s="26" t="str">
        <x:v>MANUAL</x:v>
      </x:c>
      <x:c r="G270" s="26" t="str">
        <x:v>VERIFIED</x:v>
      </x:c>
      <x:c r="H270" s="26" t="str">
        <x:v>EXACT</x:v>
      </x:c>
      <x:c r="I270" s="36" t="n">
        <x:v>46248</x:v>
      </x:c>
      <x:c r="J270" s="26" t="str">
        <x:v>Codex/web research</x:v>
      </x:c>
      <x:c r="K270" s="26" t="str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 t="str">
        <x:v>AST-000270</x:v>
      </x:c>
      <x:c r="B271" s="26" t="str">
        <x:v>EQUIPMENT_FACT</x:v>
      </x:c>
      <x:c r="C271" s="26" t="str">
        <x:v>EQP-000114</x:v>
      </x:c>
      <x:c r="D271" s="26" t="str">
        <x:v>SRC-000032</x:v>
      </x:c>
      <x:c r="E271" s="26" t="str">
        <x:v>trim equipment: lane_keep_assist</x:v>
      </x:c>
      <x:c r="F271" s="26" t="str">
        <x:v>MANUAL</x:v>
      </x:c>
      <x:c r="G271" s="26" t="str">
        <x:v>VERIFIED</x:v>
      </x:c>
      <x:c r="H271" s="26" t="str">
        <x:v>EXACT</x:v>
      </x:c>
      <x:c r="I271" s="36" t="n">
        <x:v>46248</x:v>
      </x:c>
      <x:c r="J271" s="26" t="str">
        <x:v>Codex/web research</x:v>
      </x:c>
      <x:c r="K271" s="26" t="str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 t="str">
        <x:v>AST-000271</x:v>
      </x:c>
      <x:c r="B272" s="26" t="str">
        <x:v>EQUIPMENT_FACT</x:v>
      </x:c>
      <x:c r="C272" s="26" t="str">
        <x:v>EQP-000115</x:v>
      </x:c>
      <x:c r="D272" s="26" t="str">
        <x:v>SRC-000032</x:v>
      </x:c>
      <x:c r="E272" s="26" t="str">
        <x:v>trim equipment: isofix_rear</x:v>
      </x:c>
      <x:c r="F272" s="26" t="str">
        <x:v>MANUAL</x:v>
      </x:c>
      <x:c r="G272" s="26" t="str">
        <x:v>VERIFIED</x:v>
      </x:c>
      <x:c r="H272" s="26" t="str">
        <x:v>EXACT</x:v>
      </x:c>
      <x:c r="I272" s="36" t="n">
        <x:v>46248</x:v>
      </x:c>
      <x:c r="J272" s="26" t="str">
        <x:v>Codex/web research</x:v>
      </x:c>
      <x:c r="K272" s="26" t="str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 t="str">
        <x:v>AST-000272</x:v>
      </x:c>
      <x:c r="B273" s="26" t="str">
        <x:v>EQUIPMENT_FACT</x:v>
      </x:c>
      <x:c r="C273" s="26" t="str">
        <x:v>EQP-000116</x:v>
      </x:c>
      <x:c r="D273" s="26" t="str">
        <x:v>SRC-000032</x:v>
      </x:c>
      <x:c r="E273" s="26" t="str">
        <x:v>trim equipment: reversing_camera</x:v>
      </x:c>
      <x:c r="F273" s="26" t="str">
        <x:v>MANUAL</x:v>
      </x:c>
      <x:c r="G273" s="26" t="str">
        <x:v>VERIFIED</x:v>
      </x:c>
      <x:c r="H273" s="26" t="str">
        <x:v>EXACT</x:v>
      </x:c>
      <x:c r="I273" s="36" t="n">
        <x:v>46248</x:v>
      </x:c>
      <x:c r="J273" s="26" t="str">
        <x:v>Codex/web research</x:v>
      </x:c>
      <x:c r="K273" s="26" t="str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 t="str">
        <x:v>AST-000273</x:v>
      </x:c>
      <x:c r="B274" s="26" t="str">
        <x:v>EQUIPMENT_FACT</x:v>
      </x:c>
      <x:c r="C274" s="26" t="str">
        <x:v>EQP-000117</x:v>
      </x:c>
      <x:c r="D274" s="26" t="str">
        <x:v>SRC-000032</x:v>
      </x:c>
      <x:c r="E274" s="26" t="str">
        <x:v>trim equipment: apple_carplay</x:v>
      </x:c>
      <x:c r="F274" s="26" t="str">
        <x:v>MANUAL</x:v>
      </x:c>
      <x:c r="G274" s="26" t="str">
        <x:v>VERIFIED</x:v>
      </x:c>
      <x:c r="H274" s="26" t="str">
        <x:v>EXACT</x:v>
      </x:c>
      <x:c r="I274" s="36" t="n">
        <x:v>46248</x:v>
      </x:c>
      <x:c r="J274" s="26" t="str">
        <x:v>Codex/web research</x:v>
      </x:c>
      <x:c r="K274" s="26" t="str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 t="str">
        <x:v>AST-000274</x:v>
      </x:c>
      <x:c r="B275" s="26" t="str">
        <x:v>EQUIPMENT_FACT</x:v>
      </x:c>
      <x:c r="C275" s="26" t="str">
        <x:v>EQP-000118</x:v>
      </x:c>
      <x:c r="D275" s="26" t="str">
        <x:v>SRC-000032</x:v>
      </x:c>
      <x:c r="E275" s="26" t="str">
        <x:v>trim equipment: android_auto</x:v>
      </x:c>
      <x:c r="F275" s="26" t="str">
        <x:v>MANUAL</x:v>
      </x:c>
      <x:c r="G275" s="26" t="str">
        <x:v>VERIFIED</x:v>
      </x:c>
      <x:c r="H275" s="26" t="str">
        <x:v>EXACT</x:v>
      </x:c>
      <x:c r="I275" s="36" t="n">
        <x:v>46248</x:v>
      </x:c>
      <x:c r="J275" s="26" t="str">
        <x:v>Codex/web research</x:v>
      </x:c>
      <x:c r="K275" s="26" t="str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 t="str">
        <x:v>AST-000275</x:v>
      </x:c>
      <x:c r="B276" s="26" t="str">
        <x:v>EQUIPMENT_FACT</x:v>
      </x:c>
      <x:c r="C276" s="26" t="str">
        <x:v>EQP-000119</x:v>
      </x:c>
      <x:c r="D276" s="26" t="str">
        <x:v>SRC-000032</x:v>
      </x:c>
      <x:c r="E276" s="26" t="str">
        <x:v>trim equipment: aeb</x:v>
      </x:c>
      <x:c r="F276" s="26" t="str">
        <x:v>MANUAL</x:v>
      </x:c>
      <x:c r="G276" s="26" t="str">
        <x:v>VERIFIED</x:v>
      </x:c>
      <x:c r="H276" s="26" t="str">
        <x:v>EXACT</x:v>
      </x:c>
      <x:c r="I276" s="36" t="n">
        <x:v>46248</x:v>
      </x:c>
      <x:c r="J276" s="26" t="str">
        <x:v>Codex/web research</x:v>
      </x:c>
      <x:c r="K276" s="26" t="str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 t="str">
        <x:v>AST-000276</x:v>
      </x:c>
      <x:c r="B277" s="26" t="str">
        <x:v>EQUIPMENT_FACT</x:v>
      </x:c>
      <x:c r="C277" s="26" t="str">
        <x:v>EQP-000120</x:v>
      </x:c>
      <x:c r="D277" s="26" t="str">
        <x:v>SRC-000032</x:v>
      </x:c>
      <x:c r="E277" s="26" t="str">
        <x:v>trim equipment: adaptive_cruise_control</x:v>
      </x:c>
      <x:c r="F277" s="26" t="str">
        <x:v>MANUAL</x:v>
      </x:c>
      <x:c r="G277" s="26" t="str">
        <x:v>VERIFIED</x:v>
      </x:c>
      <x:c r="H277" s="26" t="str">
        <x:v>EXACT</x:v>
      </x:c>
      <x:c r="I277" s="36" t="n">
        <x:v>46248</x:v>
      </x:c>
      <x:c r="J277" s="26" t="str">
        <x:v>Codex/web research</x:v>
      </x:c>
      <x:c r="K277" s="26" t="str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 t="str">
        <x:v>AST-000277</x:v>
      </x:c>
      <x:c r="B278" s="26" t="str">
        <x:v>EQUIPMENT_FACT</x:v>
      </x:c>
      <x:c r="C278" s="26" t="str">
        <x:v>EQP-000121</x:v>
      </x:c>
      <x:c r="D278" s="26" t="str">
        <x:v>SRC-000032</x:v>
      </x:c>
      <x:c r="E278" s="26" t="str">
        <x:v>trim equipment: lane_keep_assist</x:v>
      </x:c>
      <x:c r="F278" s="26" t="str">
        <x:v>MANUAL</x:v>
      </x:c>
      <x:c r="G278" s="26" t="str">
        <x:v>VERIFIED</x:v>
      </x:c>
      <x:c r="H278" s="26" t="str">
        <x:v>EXACT</x:v>
      </x:c>
      <x:c r="I278" s="36" t="n">
        <x:v>46248</x:v>
      </x:c>
      <x:c r="J278" s="26" t="str">
        <x:v>Codex/web research</x:v>
      </x:c>
      <x:c r="K278" s="26" t="str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 t="str">
        <x:v>AST-000278</x:v>
      </x:c>
      <x:c r="B279" s="26" t="str">
        <x:v>EQUIPMENT_FACT</x:v>
      </x:c>
      <x:c r="C279" s="26" t="str">
        <x:v>EQP-000122</x:v>
      </x:c>
      <x:c r="D279" s="26" t="str">
        <x:v>SRC-000032</x:v>
      </x:c>
      <x:c r="E279" s="26" t="str">
        <x:v>trim equipment: isofix_rear</x:v>
      </x:c>
      <x:c r="F279" s="26" t="str">
        <x:v>MANUAL</x:v>
      </x:c>
      <x:c r="G279" s="26" t="str">
        <x:v>VERIFIED</x:v>
      </x:c>
      <x:c r="H279" s="26" t="str">
        <x:v>EXACT</x:v>
      </x:c>
      <x:c r="I279" s="36" t="n">
        <x:v>46248</x:v>
      </x:c>
      <x:c r="J279" s="26" t="str">
        <x:v>Codex/web research</x:v>
      </x:c>
      <x:c r="K279" s="26" t="str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 t="str">
        <x:v>AST-000279</x:v>
      </x:c>
      <x:c r="B280" s="26" t="str">
        <x:v>EQUIPMENT_FACT</x:v>
      </x:c>
      <x:c r="C280" s="26" t="str">
        <x:v>EQP-000123</x:v>
      </x:c>
      <x:c r="D280" s="26" t="str">
        <x:v>SRC-000032</x:v>
      </x:c>
      <x:c r="E280" s="26" t="str">
        <x:v>trim equipment: reversing_camera</x:v>
      </x:c>
      <x:c r="F280" s="26" t="str">
        <x:v>MANUAL</x:v>
      </x:c>
      <x:c r="G280" s="26" t="str">
        <x:v>VERIFIED</x:v>
      </x:c>
      <x:c r="H280" s="26" t="str">
        <x:v>EXACT</x:v>
      </x:c>
      <x:c r="I280" s="36" t="n">
        <x:v>46248</x:v>
      </x:c>
      <x:c r="J280" s="26" t="str">
        <x:v>Codex/web research</x:v>
      </x:c>
      <x:c r="K280" s="26" t="str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 t="str">
        <x:v>AST-000280</x:v>
      </x:c>
      <x:c r="B281" s="26" t="str">
        <x:v>EQUIPMENT_FACT</x:v>
      </x:c>
      <x:c r="C281" s="26" t="str">
        <x:v>EQP-000124</x:v>
      </x:c>
      <x:c r="D281" s="26" t="str">
        <x:v>SRC-000032</x:v>
      </x:c>
      <x:c r="E281" s="26" t="str">
        <x:v>trim equipment: apple_carplay</x:v>
      </x:c>
      <x:c r="F281" s="26" t="str">
        <x:v>MANUAL</x:v>
      </x:c>
      <x:c r="G281" s="26" t="str">
        <x:v>VERIFIED</x:v>
      </x:c>
      <x:c r="H281" s="26" t="str">
        <x:v>EXACT</x:v>
      </x:c>
      <x:c r="I281" s="36" t="n">
        <x:v>46248</x:v>
      </x:c>
      <x:c r="J281" s="26" t="str">
        <x:v>Codex/web research</x:v>
      </x:c>
      <x:c r="K281" s="26" t="str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 t="str">
        <x:v>AST-000281</x:v>
      </x:c>
      <x:c r="B282" s="26" t="str">
        <x:v>EQUIPMENT_FACT</x:v>
      </x:c>
      <x:c r="C282" s="26" t="str">
        <x:v>EQP-000125</x:v>
      </x:c>
      <x:c r="D282" s="26" t="str">
        <x:v>SRC-000032</x:v>
      </x:c>
      <x:c r="E282" s="26" t="str">
        <x:v>trim equipment: android_auto</x:v>
      </x:c>
      <x:c r="F282" s="26" t="str">
        <x:v>MANUAL</x:v>
      </x:c>
      <x:c r="G282" s="26" t="str">
        <x:v>VERIFIED</x:v>
      </x:c>
      <x:c r="H282" s="26" t="str">
        <x:v>EXACT</x:v>
      </x:c>
      <x:c r="I282" s="36" t="n">
        <x:v>46248</x:v>
      </x:c>
      <x:c r="J282" s="26" t="str">
        <x:v>Codex/web research</x:v>
      </x:c>
      <x:c r="K282" s="26" t="str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 t="str">
        <x:v>AST-000282</x:v>
      </x:c>
      <x:c r="B283" s="26" t="str">
        <x:v>EQUIPMENT_FACT</x:v>
      </x:c>
      <x:c r="C283" s="26" t="str">
        <x:v>EQP-000126</x:v>
      </x:c>
      <x:c r="D283" s="26" t="str">
        <x:v>SRC-000034</x:v>
      </x:c>
      <x:c r="E283" s="26" t="str">
        <x:v>trim equipment: aeb</x:v>
      </x:c>
      <x:c r="F283" s="26" t="str">
        <x:v>MANUAL</x:v>
      </x:c>
      <x:c r="G283" s="26" t="str">
        <x:v>VERIFIED</x:v>
      </x:c>
      <x:c r="H283" s="26" t="str">
        <x:v>EXACT</x:v>
      </x:c>
      <x:c r="I283" s="36" t="n">
        <x:v>46248</x:v>
      </x:c>
      <x:c r="J283" s="26" t="str">
        <x:v>Codex/web research</x:v>
      </x:c>
      <x:c r="K283" s="26" t="str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 t="str">
        <x:v>AST-000283</x:v>
      </x:c>
      <x:c r="B284" s="26" t="str">
        <x:v>EQUIPMENT_FACT</x:v>
      </x:c>
      <x:c r="C284" s="26" t="str">
        <x:v>EQP-000127</x:v>
      </x:c>
      <x:c r="D284" s="26" t="str">
        <x:v>SRC-000034</x:v>
      </x:c>
      <x:c r="E284" s="26" t="str">
        <x:v>trim equipment: adaptive_cruise_control</x:v>
      </x:c>
      <x:c r="F284" s="26" t="str">
        <x:v>MANUAL</x:v>
      </x:c>
      <x:c r="G284" s="26" t="str">
        <x:v>VERIFIED</x:v>
      </x:c>
      <x:c r="H284" s="26" t="str">
        <x:v>EXACT</x:v>
      </x:c>
      <x:c r="I284" s="36" t="n">
        <x:v>46248</x:v>
      </x:c>
      <x:c r="J284" s="26" t="str">
        <x:v>Codex/web research</x:v>
      </x:c>
      <x:c r="K284" s="26" t="str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 t="str">
        <x:v>AST-000284</x:v>
      </x:c>
      <x:c r="B285" s="26" t="str">
        <x:v>EQUIPMENT_FACT</x:v>
      </x:c>
      <x:c r="C285" s="26" t="str">
        <x:v>EQP-000128</x:v>
      </x:c>
      <x:c r="D285" s="26" t="str">
        <x:v>SRC-000034</x:v>
      </x:c>
      <x:c r="E285" s="26" t="str">
        <x:v>trim equipment: lane_keep_assist</x:v>
      </x:c>
      <x:c r="F285" s="26" t="str">
        <x:v>MANUAL</x:v>
      </x:c>
      <x:c r="G285" s="26" t="str">
        <x:v>VERIFIED</x:v>
      </x:c>
      <x:c r="H285" s="26" t="str">
        <x:v>EXACT</x:v>
      </x:c>
      <x:c r="I285" s="36" t="n">
        <x:v>46248</x:v>
      </x:c>
      <x:c r="J285" s="26" t="str">
        <x:v>Codex/web research</x:v>
      </x:c>
      <x:c r="K285" s="26" t="str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 t="str">
        <x:v>AST-000285</x:v>
      </x:c>
      <x:c r="B286" s="26" t="str">
        <x:v>EQUIPMENT_FACT</x:v>
      </x:c>
      <x:c r="C286" s="26" t="str">
        <x:v>EQP-000129</x:v>
      </x:c>
      <x:c r="D286" s="26" t="str">
        <x:v>SRC-000034</x:v>
      </x:c>
      <x:c r="E286" s="26" t="str">
        <x:v>trim equipment: blind_spot_monitor</x:v>
      </x:c>
      <x:c r="F286" s="26" t="str">
        <x:v>MANUAL</x:v>
      </x:c>
      <x:c r="G286" s="26" t="str">
        <x:v>VERIFIED</x:v>
      </x:c>
      <x:c r="H286" s="26" t="str">
        <x:v>EXACT</x:v>
      </x:c>
      <x:c r="I286" s="36" t="n">
        <x:v>46248</x:v>
      </x:c>
      <x:c r="J286" s="26" t="str">
        <x:v>Codex/web research</x:v>
      </x:c>
      <x:c r="K286" s="26" t="str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 t="str">
        <x:v>AST-000286</x:v>
      </x:c>
      <x:c r="B287" s="26" t="str">
        <x:v>EQUIPMENT_FACT</x:v>
      </x:c>
      <x:c r="C287" s="26" t="str">
        <x:v>EQP-000130</x:v>
      </x:c>
      <x:c r="D287" s="26" t="str">
        <x:v>SRC-000034</x:v>
      </x:c>
      <x:c r="E287" s="26" t="str">
        <x:v>trim equipment: rear_cross_traffic_alert</x:v>
      </x:c>
      <x:c r="F287" s="26" t="str">
        <x:v>MANUAL</x:v>
      </x:c>
      <x:c r="G287" s="26" t="str">
        <x:v>VERIFIED</x:v>
      </x:c>
      <x:c r="H287" s="26" t="str">
        <x:v>EXACT</x:v>
      </x:c>
      <x:c r="I287" s="36" t="n">
        <x:v>46248</x:v>
      </x:c>
      <x:c r="J287" s="26" t="str">
        <x:v>Codex/web research</x:v>
      </x:c>
      <x:c r="K287" s="26" t="str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 t="str">
        <x:v>AST-000287</x:v>
      </x:c>
      <x:c r="B288" s="26" t="str">
        <x:v>EQUIPMENT_FACT</x:v>
      </x:c>
      <x:c r="C288" s="26" t="str">
        <x:v>EQP-000131</x:v>
      </x:c>
      <x:c r="D288" s="26" t="str">
        <x:v>SRC-000034</x:v>
      </x:c>
      <x:c r="E288" s="26" t="str">
        <x:v>trim equipment: reversing_camera</x:v>
      </x:c>
      <x:c r="F288" s="26" t="str">
        <x:v>MANUAL</x:v>
      </x:c>
      <x:c r="G288" s="26" t="str">
        <x:v>VERIFIED</x:v>
      </x:c>
      <x:c r="H288" s="26" t="str">
        <x:v>EXACT</x:v>
      </x:c>
      <x:c r="I288" s="36" t="n">
        <x:v>46248</x:v>
      </x:c>
      <x:c r="J288" s="26" t="str">
        <x:v>Codex/web research</x:v>
      </x:c>
      <x:c r="K288" s="26" t="str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 t="str">
        <x:v>AST-000288</x:v>
      </x:c>
      <x:c r="B289" s="26" t="str">
        <x:v>EQUIPMENT_FACT</x:v>
      </x:c>
      <x:c r="C289" s="26" t="str">
        <x:v>EQP-000132</x:v>
      </x:c>
      <x:c r="D289" s="26" t="str">
        <x:v>SRC-000035</x:v>
      </x:c>
      <x:c r="E289" s="26" t="str">
        <x:v>trim equipment: aeb</x:v>
      </x:c>
      <x:c r="F289" s="26" t="str">
        <x:v>MANUAL</x:v>
      </x:c>
      <x:c r="G289" s="26" t="str">
        <x:v>VERIFIED</x:v>
      </x:c>
      <x:c r="H289" s="26" t="str">
        <x:v>EXACT</x:v>
      </x:c>
      <x:c r="I289" s="36" t="n">
        <x:v>46248</x:v>
      </x:c>
      <x:c r="J289" s="26" t="str">
        <x:v>Codex/web research</x:v>
      </x:c>
      <x:c r="K289" s="26" t="str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 t="str">
        <x:v>AST-000289</x:v>
      </x:c>
      <x:c r="B290" s="26" t="str">
        <x:v>EQUIPMENT_FACT</x:v>
      </x:c>
      <x:c r="C290" s="26" t="str">
        <x:v>EQP-000133</x:v>
      </x:c>
      <x:c r="D290" s="26" t="str">
        <x:v>SRC-000035</x:v>
      </x:c>
      <x:c r="E290" s="26" t="str">
        <x:v>trim equipment: lane_keep_assist</x:v>
      </x:c>
      <x:c r="F290" s="26" t="str">
        <x:v>MANUAL</x:v>
      </x:c>
      <x:c r="G290" s="26" t="str">
        <x:v>VERIFIED</x:v>
      </x:c>
      <x:c r="H290" s="26" t="str">
        <x:v>EXACT</x:v>
      </x:c>
      <x:c r="I290" s="36" t="n">
        <x:v>46248</x:v>
      </x:c>
      <x:c r="J290" s="26" t="str">
        <x:v>Codex/web research</x:v>
      </x:c>
      <x:c r="K290" s="26" t="str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 t="str">
        <x:v>AST-000290</x:v>
      </x:c>
      <x:c r="B291" s="26" t="str">
        <x:v>EQUIPMENT_FACT</x:v>
      </x:c>
      <x:c r="C291" s="26" t="str">
        <x:v>EQP-000134</x:v>
      </x:c>
      <x:c r="D291" s="26" t="str">
        <x:v>SRC-000035</x:v>
      </x:c>
      <x:c r="E291" s="26" t="str">
        <x:v>trim equipment: parking_sensors_rear</x:v>
      </x:c>
      <x:c r="F291" s="26" t="str">
        <x:v>MANUAL</x:v>
      </x:c>
      <x:c r="G291" s="26" t="str">
        <x:v>VERIFIED</x:v>
      </x:c>
      <x:c r="H291" s="26" t="str">
        <x:v>EXACT</x:v>
      </x:c>
      <x:c r="I291" s="36" t="n">
        <x:v>46248</x:v>
      </x:c>
      <x:c r="J291" s="26" t="str">
        <x:v>Codex/web research</x:v>
      </x:c>
      <x:c r="K291" s="26" t="str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 t="str">
        <x:v>AST-000291</x:v>
      </x:c>
      <x:c r="B292" s="26" t="str">
        <x:v>EQUIPMENT_FACT</x:v>
      </x:c>
      <x:c r="C292" s="26" t="str">
        <x:v>EQP-000135</x:v>
      </x:c>
      <x:c r="D292" s="26" t="str">
        <x:v>SRC-000035</x:v>
      </x:c>
      <x:c r="E292" s="26" t="str">
        <x:v>trim equipment: reversing_camera</x:v>
      </x:c>
      <x:c r="F292" s="26" t="str">
        <x:v>MANUAL</x:v>
      </x:c>
      <x:c r="G292" s="26" t="str">
        <x:v>VERIFIED</x:v>
      </x:c>
      <x:c r="H292" s="26" t="str">
        <x:v>EXACT</x:v>
      </x:c>
      <x:c r="I292" s="36" t="n">
        <x:v>46248</x:v>
      </x:c>
      <x:c r="J292" s="26" t="str">
        <x:v>Codex/web research</x:v>
      </x:c>
      <x:c r="K292" s="26" t="str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 t="str">
        <x:v>AST-000292</x:v>
      </x:c>
      <x:c r="B293" s="26" t="str">
        <x:v>EQUIPMENT_FACT</x:v>
      </x:c>
      <x:c r="C293" s="26" t="str">
        <x:v>EQP-000136</x:v>
      </x:c>
      <x:c r="D293" s="26" t="str">
        <x:v>SRC-000035</x:v>
      </x:c>
      <x:c r="E293" s="26" t="str">
        <x:v>trim equipment: apple_carplay</x:v>
      </x:c>
      <x:c r="F293" s="26" t="str">
        <x:v>MANUAL</x:v>
      </x:c>
      <x:c r="G293" s="26" t="str">
        <x:v>VERIFIED</x:v>
      </x:c>
      <x:c r="H293" s="26" t="str">
        <x:v>EXACT</x:v>
      </x:c>
      <x:c r="I293" s="36" t="n">
        <x:v>46248</x:v>
      </x:c>
      <x:c r="J293" s="26" t="str">
        <x:v>Codex/web research</x:v>
      </x:c>
      <x:c r="K293" s="26" t="str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 t="str">
        <x:v>AST-000293</x:v>
      </x:c>
      <x:c r="B294" s="26" t="str">
        <x:v>EQUIPMENT_FACT</x:v>
      </x:c>
      <x:c r="C294" s="26" t="str">
        <x:v>EQP-000137</x:v>
      </x:c>
      <x:c r="D294" s="26" t="str">
        <x:v>SRC-000035</x:v>
      </x:c>
      <x:c r="E294" s="26" t="str">
        <x:v>trim equipment: android_auto</x:v>
      </x:c>
      <x:c r="F294" s="26" t="str">
        <x:v>MANUAL</x:v>
      </x:c>
      <x:c r="G294" s="26" t="str">
        <x:v>VERIFIED</x:v>
      </x:c>
      <x:c r="H294" s="26" t="str">
        <x:v>EXACT</x:v>
      </x:c>
      <x:c r="I294" s="36" t="n">
        <x:v>46248</x:v>
      </x:c>
      <x:c r="J294" s="26" t="str">
        <x:v>Codex/web research</x:v>
      </x:c>
      <x:c r="K294" s="26" t="str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 t="str">
        <x:v>AST-000294</x:v>
      </x:c>
      <x:c r="B295" s="26" t="str">
        <x:v>EQUIPMENT_FACT</x:v>
      </x:c>
      <x:c r="C295" s="26" t="str">
        <x:v>EQP-000138</x:v>
      </x:c>
      <x:c r="D295" s="26" t="str">
        <x:v>SRC-000035</x:v>
      </x:c>
      <x:c r="E295" s="26" t="str">
        <x:v>trim equipment: aeb</x:v>
      </x:c>
      <x:c r="F295" s="26" t="str">
        <x:v>MANUAL</x:v>
      </x:c>
      <x:c r="G295" s="26" t="str">
        <x:v>VERIFIED</x:v>
      </x:c>
      <x:c r="H295" s="26" t="str">
        <x:v>EXACT</x:v>
      </x:c>
      <x:c r="I295" s="36" t="n">
        <x:v>46248</x:v>
      </x:c>
      <x:c r="J295" s="26" t="str">
        <x:v>Codex/web research</x:v>
      </x:c>
      <x:c r="K295" s="26" t="str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 t="str">
        <x:v>AST-000295</x:v>
      </x:c>
      <x:c r="B296" s="26" t="str">
        <x:v>EQUIPMENT_FACT</x:v>
      </x:c>
      <x:c r="C296" s="26" t="str">
        <x:v>EQP-000139</x:v>
      </x:c>
      <x:c r="D296" s="26" t="str">
        <x:v>SRC-000035</x:v>
      </x:c>
      <x:c r="E296" s="26" t="str">
        <x:v>trim equipment: lane_keep_assist</x:v>
      </x:c>
      <x:c r="F296" s="26" t="str">
        <x:v>MANUAL</x:v>
      </x:c>
      <x:c r="G296" s="26" t="str">
        <x:v>VERIFIED</x:v>
      </x:c>
      <x:c r="H296" s="26" t="str">
        <x:v>EXACT</x:v>
      </x:c>
      <x:c r="I296" s="36" t="n">
        <x:v>46248</x:v>
      </x:c>
      <x:c r="J296" s="26" t="str">
        <x:v>Codex/web research</x:v>
      </x:c>
      <x:c r="K296" s="26" t="str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 t="str">
        <x:v>AST-000296</x:v>
      </x:c>
      <x:c r="B297" s="26" t="str">
        <x:v>EQUIPMENT_FACT</x:v>
      </x:c>
      <x:c r="C297" s="26" t="str">
        <x:v>EQP-000140</x:v>
      </x:c>
      <x:c r="D297" s="26" t="str">
        <x:v>SRC-000035</x:v>
      </x:c>
      <x:c r="E297" s="26" t="str">
        <x:v>trim equipment: parking_sensors_rear</x:v>
      </x:c>
      <x:c r="F297" s="26" t="str">
        <x:v>MANUAL</x:v>
      </x:c>
      <x:c r="G297" s="26" t="str">
        <x:v>VERIFIED</x:v>
      </x:c>
      <x:c r="H297" s="26" t="str">
        <x:v>EXACT</x:v>
      </x:c>
      <x:c r="I297" s="36" t="n">
        <x:v>46248</x:v>
      </x:c>
      <x:c r="J297" s="26" t="str">
        <x:v>Codex/web research</x:v>
      </x:c>
      <x:c r="K297" s="26" t="str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 t="str">
        <x:v>AST-000297</x:v>
      </x:c>
      <x:c r="B298" s="26" t="str">
        <x:v>EQUIPMENT_FACT</x:v>
      </x:c>
      <x:c r="C298" s="26" t="str">
        <x:v>EQP-000141</x:v>
      </x:c>
      <x:c r="D298" s="26" t="str">
        <x:v>SRC-000035</x:v>
      </x:c>
      <x:c r="E298" s="26" t="str">
        <x:v>trim equipment: reversing_camera</x:v>
      </x:c>
      <x:c r="F298" s="26" t="str">
        <x:v>MANUAL</x:v>
      </x:c>
      <x:c r="G298" s="26" t="str">
        <x:v>VERIFIED</x:v>
      </x:c>
      <x:c r="H298" s="26" t="str">
        <x:v>EXACT</x:v>
      </x:c>
      <x:c r="I298" s="36" t="n">
        <x:v>46248</x:v>
      </x:c>
      <x:c r="J298" s="26" t="str">
        <x:v>Codex/web research</x:v>
      </x:c>
      <x:c r="K298" s="26" t="str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 t="str">
        <x:v>AST-000298</x:v>
      </x:c>
      <x:c r="B299" s="26" t="str">
        <x:v>EQUIPMENT_FACT</x:v>
      </x:c>
      <x:c r="C299" s="26" t="str">
        <x:v>EQP-000142</x:v>
      </x:c>
      <x:c r="D299" s="26" t="str">
        <x:v>SRC-000035</x:v>
      </x:c>
      <x:c r="E299" s="26" t="str">
        <x:v>trim equipment: apple_carplay</x:v>
      </x:c>
      <x:c r="F299" s="26" t="str">
        <x:v>MANUAL</x:v>
      </x:c>
      <x:c r="G299" s="26" t="str">
        <x:v>VERIFIED</x:v>
      </x:c>
      <x:c r="H299" s="26" t="str">
        <x:v>EXACT</x:v>
      </x:c>
      <x:c r="I299" s="36" t="n">
        <x:v>46248</x:v>
      </x:c>
      <x:c r="J299" s="26" t="str">
        <x:v>Codex/web research</x:v>
      </x:c>
      <x:c r="K299" s="26" t="str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 t="str">
        <x:v>AST-000299</x:v>
      </x:c>
      <x:c r="B300" s="26" t="str">
        <x:v>EQUIPMENT_FACT</x:v>
      </x:c>
      <x:c r="C300" s="26" t="str">
        <x:v>EQP-000143</x:v>
      </x:c>
      <x:c r="D300" s="26" t="str">
        <x:v>SRC-000035</x:v>
      </x:c>
      <x:c r="E300" s="26" t="str">
        <x:v>trim equipment: android_auto</x:v>
      </x:c>
      <x:c r="F300" s="26" t="str">
        <x:v>MANUAL</x:v>
      </x:c>
      <x:c r="G300" s="26" t="str">
        <x:v>VERIFIED</x:v>
      </x:c>
      <x:c r="H300" s="26" t="str">
        <x:v>EXACT</x:v>
      </x:c>
      <x:c r="I300" s="36" t="n">
        <x:v>46248</x:v>
      </x:c>
      <x:c r="J300" s="26" t="str">
        <x:v>Codex/web research</x:v>
      </x:c>
      <x:c r="K300" s="26" t="str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 t="str">
        <x:v>AST-000300</x:v>
      </x:c>
      <x:c r="B301" s="26" t="str">
        <x:v>EQUIPMENT_FACT</x:v>
      </x:c>
      <x:c r="C301" s="26" t="str">
        <x:v>EQP-000144</x:v>
      </x:c>
      <x:c r="D301" s="26" t="str">
        <x:v>SRC-000036</x:v>
      </x:c>
      <x:c r="E301" s="26" t="str">
        <x:v>trim equipment: aeb</x:v>
      </x:c>
      <x:c r="F301" s="26" t="str">
        <x:v>MANUAL</x:v>
      </x:c>
      <x:c r="G301" s="26" t="str">
        <x:v>VERIFIED</x:v>
      </x:c>
      <x:c r="H301" s="26" t="str">
        <x:v>EXACT</x:v>
      </x:c>
      <x:c r="I301" s="36" t="n">
        <x:v>46248</x:v>
      </x:c>
      <x:c r="J301" s="26" t="str">
        <x:v>Codex/web research</x:v>
      </x:c>
      <x:c r="K301" s="26" t="str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 t="str">
        <x:v>AST-000301</x:v>
      </x:c>
      <x:c r="B302" s="26" t="str">
        <x:v>EQUIPMENT_FACT</x:v>
      </x:c>
      <x:c r="C302" s="26" t="str">
        <x:v>EQP-000145</x:v>
      </x:c>
      <x:c r="D302" s="26" t="str">
        <x:v>SRC-000036</x:v>
      </x:c>
      <x:c r="E302" s="26" t="str">
        <x:v>trim equipment: adaptive_cruise_control</x:v>
      </x:c>
      <x:c r="F302" s="26" t="str">
        <x:v>MANUAL</x:v>
      </x:c>
      <x:c r="G302" s="26" t="str">
        <x:v>VERIFIED</x:v>
      </x:c>
      <x:c r="H302" s="26" t="str">
        <x:v>EXACT</x:v>
      </x:c>
      <x:c r="I302" s="36" t="n">
        <x:v>46248</x:v>
      </x:c>
      <x:c r="J302" s="26" t="str">
        <x:v>Codex/web research</x:v>
      </x:c>
      <x:c r="K302" s="26" t="str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 t="str">
        <x:v>AST-000302</x:v>
      </x:c>
      <x:c r="B303" s="26" t="str">
        <x:v>EQUIPMENT_FACT</x:v>
      </x:c>
      <x:c r="C303" s="26" t="str">
        <x:v>EQP-000146</x:v>
      </x:c>
      <x:c r="D303" s="26" t="str">
        <x:v>SRC-000036</x:v>
      </x:c>
      <x:c r="E303" s="26" t="str">
        <x:v>trim equipment: lane_keep_assist</x:v>
      </x:c>
      <x:c r="F303" s="26" t="str">
        <x:v>MANUAL</x:v>
      </x:c>
      <x:c r="G303" s="26" t="str">
        <x:v>VERIFIED</x:v>
      </x:c>
      <x:c r="H303" s="26" t="str">
        <x:v>EXACT</x:v>
      </x:c>
      <x:c r="I303" s="36" t="n">
        <x:v>46248</x:v>
      </x:c>
      <x:c r="J303" s="26" t="str">
        <x:v>Codex/web research</x:v>
      </x:c>
      <x:c r="K303" s="26" t="str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 t="str">
        <x:v>AST-000303</x:v>
      </x:c>
      <x:c r="B304" s="26" t="str">
        <x:v>EQUIPMENT_FACT</x:v>
      </x:c>
      <x:c r="C304" s="26" t="str">
        <x:v>EQP-000147</x:v>
      </x:c>
      <x:c r="D304" s="26" t="str">
        <x:v>SRC-000036</x:v>
      </x:c>
      <x:c r="E304" s="26" t="str">
        <x:v>trim equipment: blind_spot_monitor</x:v>
      </x:c>
      <x:c r="F304" s="26" t="str">
        <x:v>MANUAL</x:v>
      </x:c>
      <x:c r="G304" s="26" t="str">
        <x:v>VERIFIED</x:v>
      </x:c>
      <x:c r="H304" s="26" t="str">
        <x:v>EXACT</x:v>
      </x:c>
      <x:c r="I304" s="36" t="n">
        <x:v>46248</x:v>
      </x:c>
      <x:c r="J304" s="26" t="str">
        <x:v>Codex/web research</x:v>
      </x:c>
      <x:c r="K304" s="26" t="str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 t="str">
        <x:v>AST-000304</x:v>
      </x:c>
      <x:c r="B305" s="26" t="str">
        <x:v>EQUIPMENT_FACT</x:v>
      </x:c>
      <x:c r="C305" s="26" t="str">
        <x:v>EQP-000148</x:v>
      </x:c>
      <x:c r="D305" s="26" t="str">
        <x:v>SRC-000036</x:v>
      </x:c>
      <x:c r="E305" s="26" t="str">
        <x:v>trim equipment: rear_cross_traffic_alert</x:v>
      </x:c>
      <x:c r="F305" s="26" t="str">
        <x:v>MANUAL</x:v>
      </x:c>
      <x:c r="G305" s="26" t="str">
        <x:v>VERIFIED</x:v>
      </x:c>
      <x:c r="H305" s="26" t="str">
        <x:v>EXACT</x:v>
      </x:c>
      <x:c r="I305" s="36" t="n">
        <x:v>46248</x:v>
      </x:c>
      <x:c r="J305" s="26" t="str">
        <x:v>Codex/web research</x:v>
      </x:c>
      <x:c r="K305" s="26" t="str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 t="str">
        <x:v>AST-000305</x:v>
      </x:c>
      <x:c r="B306" s="26" t="str">
        <x:v>EQUIPMENT_FACT</x:v>
      </x:c>
      <x:c r="C306" s="26" t="str">
        <x:v>EQP-000149</x:v>
      </x:c>
      <x:c r="D306" s="26" t="str">
        <x:v>SRC-000037</x:v>
      </x:c>
      <x:c r="E306" s="26" t="str">
        <x:v>trim equipment: adaptive_cruise_control</x:v>
      </x:c>
      <x:c r="F306" s="26" t="str">
        <x:v>MANUAL</x:v>
      </x:c>
      <x:c r="G306" s="26" t="str">
        <x:v>VERIFIED</x:v>
      </x:c>
      <x:c r="H306" s="26" t="str">
        <x:v>EXACT</x:v>
      </x:c>
      <x:c r="I306" s="36" t="n">
        <x:v>46248</x:v>
      </x:c>
      <x:c r="J306" s="26" t="str">
        <x:v>Codex/web research</x:v>
      </x:c>
      <x:c r="K306" s="26" t="str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 t="str">
        <x:v>AST-000306</x:v>
      </x:c>
      <x:c r="B307" s="26" t="str">
        <x:v>EQUIPMENT_FACT</x:v>
      </x:c>
      <x:c r="C307" s="26" t="str">
        <x:v>EQP-000150</x:v>
      </x:c>
      <x:c r="D307" s="26" t="str">
        <x:v>SRC-000037</x:v>
      </x:c>
      <x:c r="E307" s="26" t="str">
        <x:v>trim equipment: parking_sensors_rear</x:v>
      </x:c>
      <x:c r="F307" s="26" t="str">
        <x:v>MANUAL</x:v>
      </x:c>
      <x:c r="G307" s="26" t="str">
        <x:v>VERIFIED</x:v>
      </x:c>
      <x:c r="H307" s="26" t="str">
        <x:v>EXACT</x:v>
      </x:c>
      <x:c r="I307" s="36" t="n">
        <x:v>46248</x:v>
      </x:c>
      <x:c r="J307" s="26" t="str">
        <x:v>Codex/web research</x:v>
      </x:c>
      <x:c r="K307" s="26" t="str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 t="str">
        <x:v>AST-000307</x:v>
      </x:c>
      <x:c r="B308" s="26" t="str">
        <x:v>EQUIPMENT_FACT</x:v>
      </x:c>
      <x:c r="C308" s="26" t="str">
        <x:v>EQP-000151</x:v>
      </x:c>
      <x:c r="D308" s="26" t="str">
        <x:v>SRC-000037</x:v>
      </x:c>
      <x:c r="E308" s="26" t="str">
        <x:v>trim equipment: parking_sensors_front</x:v>
      </x:c>
      <x:c r="F308" s="26" t="str">
        <x:v>MANUAL</x:v>
      </x:c>
      <x:c r="G308" s="26" t="str">
        <x:v>VERIFIED</x:v>
      </x:c>
      <x:c r="H308" s="26" t="str">
        <x:v>EXACT</x:v>
      </x:c>
      <x:c r="I308" s="36" t="n">
        <x:v>46248</x:v>
      </x:c>
      <x:c r="J308" s="26" t="str">
        <x:v>Codex/web research</x:v>
      </x:c>
      <x:c r="K308" s="26" t="str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 t="str">
        <x:v>AST-000308</x:v>
      </x:c>
      <x:c r="B309" s="26" t="str">
        <x:v>EQUIPMENT_FACT</x:v>
      </x:c>
      <x:c r="C309" s="26" t="str">
        <x:v>EQP-000152</x:v>
      </x:c>
      <x:c r="D309" s="26" t="str">
        <x:v>SRC-000037</x:v>
      </x:c>
      <x:c r="E309" s="26" t="str">
        <x:v>trim equipment: reversing_camera</x:v>
      </x:c>
      <x:c r="F309" s="26" t="str">
        <x:v>MANUAL</x:v>
      </x:c>
      <x:c r="G309" s="26" t="str">
        <x:v>VERIFIED</x:v>
      </x:c>
      <x:c r="H309" s="26" t="str">
        <x:v>EXACT</x:v>
      </x:c>
      <x:c r="I309" s="36" t="n">
        <x:v>46248</x:v>
      </x:c>
      <x:c r="J309" s="26" t="str">
        <x:v>Codex/web research</x:v>
      </x:c>
      <x:c r="K309" s="26" t="str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 t="str">
        <x:v>AST-000309</x:v>
      </x:c>
      <x:c r="B310" s="26" t="str">
        <x:v>EQUIPMENT_FACT</x:v>
      </x:c>
      <x:c r="C310" s="26" t="str">
        <x:v>EQP-000153</x:v>
      </x:c>
      <x:c r="D310" s="26" t="str">
        <x:v>SRC-000037</x:v>
      </x:c>
      <x:c r="E310" s="26" t="str">
        <x:v>trim equipment: apple_carplay</x:v>
      </x:c>
      <x:c r="F310" s="26" t="str">
        <x:v>MANUAL</x:v>
      </x:c>
      <x:c r="G310" s="26" t="str">
        <x:v>VERIFIED</x:v>
      </x:c>
      <x:c r="H310" s="26" t="str">
        <x:v>EXACT</x:v>
      </x:c>
      <x:c r="I310" s="36" t="n">
        <x:v>46248</x:v>
      </x:c>
      <x:c r="J310" s="26" t="str">
        <x:v>Codex/web research</x:v>
      </x:c>
      <x:c r="K310" s="26" t="str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 t="str">
        <x:v>AST-000310</x:v>
      </x:c>
      <x:c r="B311" s="26" t="str">
        <x:v>EQUIPMENT_FACT</x:v>
      </x:c>
      <x:c r="C311" s="26" t="str">
        <x:v>EQP-000154</x:v>
      </x:c>
      <x:c r="D311" s="26" t="str">
        <x:v>SRC-000037</x:v>
      </x:c>
      <x:c r="E311" s="26" t="str">
        <x:v>trim equipment: android_auto</x:v>
      </x:c>
      <x:c r="F311" s="26" t="str">
        <x:v>MANUAL</x:v>
      </x:c>
      <x:c r="G311" s="26" t="str">
        <x:v>VERIFIED</x:v>
      </x:c>
      <x:c r="H311" s="26" t="str">
        <x:v>EXACT</x:v>
      </x:c>
      <x:c r="I311" s="36" t="n">
        <x:v>46248</x:v>
      </x:c>
      <x:c r="J311" s="26" t="str">
        <x:v>Codex/web research</x:v>
      </x:c>
      <x:c r="K311" s="26" t="str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3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3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3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3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3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3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3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3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3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3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3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3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3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3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3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3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3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3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3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3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3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3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3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3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3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3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3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3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3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3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3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3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3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3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3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3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3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3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3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3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3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3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3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3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3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3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3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3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3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3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3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3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3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3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3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3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3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3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3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3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3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3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3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3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3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3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3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3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3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3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3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3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3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3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3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3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3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3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3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3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3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3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3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3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3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3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3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3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3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3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3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3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3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3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3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3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3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3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3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3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3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3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3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3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3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3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3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3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3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3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3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3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3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3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3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3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3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3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3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3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3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3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3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3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3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3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3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3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3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3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3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3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3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3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3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3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3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3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3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3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3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3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3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3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3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3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3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3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3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3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3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3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3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3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3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3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3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3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3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3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3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3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3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3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3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3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3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3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3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3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3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3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3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3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3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3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3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3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3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3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3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3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3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3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2">
      <x:c r="A502" s="32"/>
      <x:c r="B502" s="32"/>
      <x:c r="C502" s="32"/>
      <x:c r="D502" s="32"/>
      <x:c r="E502" s="32"/>
      <x:c r="F502" s="32"/>
    </x:row>
    <x:row r="503">
      <x:c r="A503" s="32"/>
      <x:c r="B503" s="32"/>
      <x:c r="C503" s="32"/>
      <x:c r="D503" s="32"/>
      <x:c r="E503" s="32"/>
      <x:c r="F503" s="32"/>
    </x:row>
  </x:sheetData>
  <x:dataValidations count="4">
    <x:dataValidation type="list" sqref="B2:B500">
      <x:formula1>'12_LISTS'!$B$123:$B$125</x:formula1>
    </x:dataValidation>
    <x:dataValidation type="list" sqref="F2:F500">
      <x:formula1>'12_LISTS'!$B$126:$B$129</x:formula1>
    </x:dataValidation>
    <x:dataValidation type="list" sqref="G2:G500">
      <x:formula1>'12_LISTS'!$B$130:$B$133</x:formula1>
    </x:dataValidation>
    <x:dataValidation type="list" sqref="H2:H500">
      <x:formula1>'12_LISTS'!$B$93:$B$97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3c04f53d7d4ee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12" hidden="0" customWidth="1"/>
    <x:col min="5" max="5" width="20" hidden="0" customWidth="1"/>
    <x:col min="6" max="6" width="28" hidden="0" customWidth="1"/>
    <x:col min="7" max="7" width="18" hidden="0" customWidth="1"/>
    <x:col min="8" max="8" width="14" hidden="0" customWidth="1"/>
    <x:col min="9" max="9" width="18" hidden="0" customWidth="1"/>
    <x:col min="10" max="10" width="18" hidden="0" customWidth="1"/>
    <x:col min="11" max="11" width="40" hidden="0" customWidth="1"/>
  </x:cols>
  <x:sheetData>
    <x:row r="1">
      <x:c r="A1" s="6" t="str">
        <x:v>queue_id</x:v>
      </x:c>
      <x:c r="B1" s="6" t="str">
        <x:v>subject_id</x:v>
      </x:c>
      <x:c r="C1" s="6" t="str">
        <x:v>fact_key</x:v>
      </x:c>
      <x:c r="D1" s="6" t="str">
        <x:v>priority</x:v>
      </x:c>
      <x:c r="E1" s="6" t="str">
        <x:v>collection_status</x:v>
      </x:c>
      <x:c r="F1" s="6" t="str">
        <x:v>preferred_source_type</x:v>
      </x:c>
      <x:c r="G1" s="6" t="str">
        <x:v>assigned_method</x:v>
      </x:c>
      <x:c r="H1" s="6" t="str">
        <x:v>attempt_count</x:v>
      </x:c>
      <x:c r="I1" s="6" t="str">
        <x:v>last_attempt_at</x:v>
      </x:c>
      <x:c r="J1" s="6" t="str">
        <x:v>result</x:v>
      </x:c>
      <x:c r="K1" s="6" t="str">
        <x:v>notes</x:v>
      </x:c>
    </x:row>
    <x:row r="2">
      <x:c r="A2" s="26" t="str">
        <x:v>QUE-000001</x:v>
      </x:c>
      <x:c r="B2" s="26" t="str">
        <x:v>CFG-000001</x:v>
      </x:c>
      <x:c r="C2" s="26" t="str">
        <x:v>identity_exact_configuration</x:v>
      </x:c>
      <x:c r="D2" s="26" t="str">
        <x:v>P0</x:v>
      </x:c>
      <x:c r="E2" s="26" t="str">
        <x:v>COMPLETE</x:v>
      </x:c>
      <x:c r="F2" s="26" t="str">
        <x:v>A1_OFFICIAL_MARKET</x:v>
      </x:c>
      <x:c r="G2" s="26" t="str">
        <x:v>WEB</x:v>
      </x:c>
      <x:c r="H2" s="26" t="n">
        <x:v>2</x:v>
      </x:c>
      <x:c r="I2" s="36" t="n">
        <x:v>46248</x:v>
      </x:c>
      <x:c r="J2" s="26" t="str">
        <x:v>FOUND</x:v>
      </x:c>
      <x:c r="K2" s="26" t="str">
        <x:v>P0 closure pass completed.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QUE-000002</x:v>
      </x:c>
      <x:c r="B3" s="26" t="str">
        <x:v>CFG-000001</x:v>
      </x:c>
      <x:c r="C3" s="26" t="str">
        <x:v>dimensions_core</x:v>
      </x:c>
      <x:c r="D3" s="26" t="str">
        <x:v>P0</x:v>
      </x:c>
      <x:c r="E3" s="26" t="str">
        <x:v>COMPLETE</x:v>
      </x:c>
      <x:c r="F3" s="26" t="str">
        <x:v>A1_OFFICIAL_MARKET</x:v>
      </x:c>
      <x:c r="G3" s="26" t="str">
        <x:v>WEB</x:v>
      </x:c>
      <x:c r="H3" s="26" t="n">
        <x:v>2</x:v>
      </x:c>
      <x:c r="I3" s="36" t="n">
        <x:v>46248</x:v>
      </x:c>
      <x:c r="J3" s="26" t="str">
        <x:v>FOUND</x:v>
      </x:c>
      <x:c r="K3" s="26" t="str">
        <x:v>P0 closure pass completed.</x:v>
      </x:c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QUE-000003</x:v>
      </x:c>
      <x:c r="B4" s="26" t="str">
        <x:v>CFG-000001</x:v>
      </x:c>
      <x:c r="C4" s="26" t="str">
        <x:v>cargo_volume_l</x:v>
      </x:c>
      <x:c r="D4" s="26" t="str">
        <x:v>P0</x:v>
      </x:c>
      <x:c r="E4" s="26" t="str">
        <x:v>COMPLETE</x:v>
      </x:c>
      <x:c r="F4" s="26" t="str">
        <x:v>A1_OFFICIAL_MARKET</x:v>
      </x:c>
      <x:c r="G4" s="26" t="str">
        <x:v>WEB</x:v>
      </x:c>
      <x:c r="H4" s="26" t="n">
        <x:v>2</x:v>
      </x:c>
      <x:c r="I4" s="36" t="n">
        <x:v>46248</x:v>
      </x:c>
      <x:c r="J4" s="26" t="str">
        <x:v>FOUND</x:v>
      </x:c>
      <x:c r="K4" s="26" t="str">
        <x:v>P0 closure pass completed.</x:v>
      </x:c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QUE-000004</x:v>
      </x:c>
      <x:c r="B5" s="26" t="str">
        <x:v>CFG-000001</x:v>
      </x:c>
      <x:c r="C5" s="26" t="str">
        <x:v>ground_clearance_mm</x:v>
      </x:c>
      <x:c r="D5" s="26" t="str">
        <x:v>P0</x:v>
      </x:c>
      <x:c r="E5" s="26" t="str">
        <x:v>COMPLETE</x:v>
      </x:c>
      <x:c r="F5" s="26" t="str">
        <x:v>A1_OFFICIAL_MARKET</x:v>
      </x:c>
      <x:c r="G5" s="26" t="str">
        <x:v>WEB</x:v>
      </x:c>
      <x:c r="H5" s="26" t="n">
        <x:v>2</x:v>
      </x:c>
      <x:c r="I5" s="36" t="n">
        <x:v>46248</x:v>
      </x:c>
      <x:c r="J5" s="26" t="str">
        <x:v>FOUND</x:v>
      </x:c>
      <x:c r="K5" s="26" t="str">
        <x:v>P0 closure pass completed.</x:v>
      </x:c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QUE-000005</x:v>
      </x:c>
      <x:c r="B6" s="26" t="str">
        <x:v>CFG-000001</x:v>
      </x:c>
      <x:c r="C6" s="26" t="str">
        <x:v>efficiency_or_range_core</x:v>
      </x:c>
      <x:c r="D6" s="26" t="str">
        <x:v>P0</x:v>
      </x:c>
      <x:c r="E6" s="26" t="str">
        <x:v>COMPLETE</x:v>
      </x:c>
      <x:c r="F6" s="26" t="str">
        <x:v>A1_OFFICIAL_MARKET</x:v>
      </x:c>
      <x:c r="G6" s="26" t="str">
        <x:v>WEB</x:v>
      </x:c>
      <x:c r="H6" s="26" t="n">
        <x:v>2</x:v>
      </x:c>
      <x:c r="I6" s="36" t="n">
        <x:v>46248</x:v>
      </x:c>
      <x:c r="J6" s="26" t="str">
        <x:v>FOUND</x:v>
      </x:c>
      <x:c r="K6" s="26" t="str">
        <x:v>P0 closure pass completed.</x:v>
      </x:c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QUE-000006</x:v>
      </x:c>
      <x:c r="B7" s="26" t="str">
        <x:v>CFG-000001</x:v>
      </x:c>
      <x:c r="C7" s="26" t="str">
        <x:v>equipment_mvp_core</x:v>
      </x:c>
      <x:c r="D7" s="26" t="str">
        <x:v>P0</x:v>
      </x:c>
      <x:c r="E7" s="26" t="str">
        <x:v>COMPLETE</x:v>
      </x:c>
      <x:c r="F7" s="26" t="str">
        <x:v>A1_OFFICIAL_MARKET</x:v>
      </x:c>
      <x:c r="G7" s="26" t="str">
        <x:v>WEB</x:v>
      </x:c>
      <x:c r="H7" s="26" t="n">
        <x:v>2</x:v>
      </x:c>
      <x:c r="I7" s="36" t="n">
        <x:v>46248</x:v>
      </x:c>
      <x:c r="J7" s="26" t="str">
        <x:v>FOUND</x:v>
      </x:c>
      <x:c r="K7" s="26" t="str">
        <x:v>P0 closure pass completed.</x:v>
      </x:c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QUE-000007</x:v>
      </x:c>
      <x:c r="B8" s="26" t="str">
        <x:v>CFG-000002</x:v>
      </x:c>
      <x:c r="C8" s="26" t="str">
        <x:v>identity_exact_configuration</x:v>
      </x:c>
      <x:c r="D8" s="26" t="str">
        <x:v>P0</x:v>
      </x:c>
      <x:c r="E8" s="26" t="str">
        <x:v>COMPLETE</x:v>
      </x:c>
      <x:c r="F8" s="26" t="str">
        <x:v>A1_OFFICIAL_MARKET</x:v>
      </x:c>
      <x:c r="G8" s="26" t="str">
        <x:v>WEB</x:v>
      </x:c>
      <x:c r="H8" s="26" t="n">
        <x:v>2</x:v>
      </x:c>
      <x:c r="I8" s="36" t="n">
        <x:v>46248</x:v>
      </x:c>
      <x:c r="J8" s="26" t="str">
        <x:v>FOUND</x:v>
      </x:c>
      <x:c r="K8" s="26" t="str">
        <x:v>Resolved by selecting exact current Easy 1.6 M.Jet 130 HP 6MT configuration.</x:v>
      </x:c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QUE-000008</x:v>
      </x:c>
      <x:c r="B9" s="26" t="str">
        <x:v>CFG-000002</x:v>
      </x:c>
      <x:c r="C9" s="26" t="str">
        <x:v>dimensions_core</x:v>
      </x:c>
      <x:c r="D9" s="26" t="str">
        <x:v>P0</x:v>
      </x:c>
      <x:c r="E9" s="26" t="str">
        <x:v>COMPLETE</x:v>
      </x:c>
      <x:c r="F9" s="26" t="str">
        <x:v>A1_OFFICIAL_MARKET</x:v>
      </x:c>
      <x:c r="G9" s="26" t="str">
        <x:v>WEB</x:v>
      </x:c>
      <x:c r="H9" s="26" t="n">
        <x:v>2</x:v>
      </x:c>
      <x:c r="I9" s="36" t="n">
        <x:v>46248</x:v>
      </x:c>
      <x:c r="J9" s="26" t="str">
        <x:v>FOUND</x:v>
      </x:c>
      <x:c r="K9" s="26" t="str">
        <x:v>P0 closure pass completed.</x:v>
      </x:c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QUE-000009</x:v>
      </x:c>
      <x:c r="B10" s="26" t="str">
        <x:v>CFG-000002</x:v>
      </x:c>
      <x:c r="C10" s="26" t="str">
        <x:v>cargo_volume_l</x:v>
      </x:c>
      <x:c r="D10" s="26" t="str">
        <x:v>P0</x:v>
      </x:c>
      <x:c r="E10" s="26" t="str">
        <x:v>COMPLETE</x:v>
      </x:c>
      <x:c r="F10" s="26" t="str">
        <x:v>A1_OFFICIAL_MARKET</x:v>
      </x:c>
      <x:c r="G10" s="26" t="str">
        <x:v>WEB</x:v>
      </x:c>
      <x:c r="H10" s="26" t="n">
        <x:v>2</x:v>
      </x:c>
      <x:c r="I10" s="36" t="n">
        <x:v>46248</x:v>
      </x:c>
      <x:c r="J10" s="26" t="str">
        <x:v>FOUND</x:v>
      </x:c>
      <x:c r="K10" s="26" t="str">
        <x:v>P0 closure pass completed.</x:v>
      </x:c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QUE-000010</x:v>
      </x:c>
      <x:c r="B11" s="26" t="str">
        <x:v>CFG-000002</x:v>
      </x:c>
      <x:c r="C11" s="26" t="str">
        <x:v>ground_clearance_mm</x:v>
      </x:c>
      <x:c r="D11" s="26" t="str">
        <x:v>P0</x:v>
      </x:c>
      <x:c r="E11" s="26" t="str">
        <x:v>COMPLETE</x:v>
      </x:c>
      <x:c r="F11" s="26" t="str">
        <x:v>A1_OFFICIAL_MARKET</x:v>
      </x:c>
      <x:c r="G11" s="26" t="str">
        <x:v>WEB</x:v>
      </x:c>
      <x:c r="H11" s="26" t="n">
        <x:v>2</x:v>
      </x:c>
      <x:c r="I11" s="36" t="n">
        <x:v>46248</x:v>
      </x:c>
      <x:c r="J11" s="26" t="str">
        <x:v>NOT_FOUND</x:v>
      </x:c>
      <x:c r="K11" s="26" t="str">
        <x:v>Official Turkey P0 sources searched; no authoritative value found. Kept UNKNOWN.</x:v>
      </x:c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QUE-000011</x:v>
      </x:c>
      <x:c r="B12" s="26" t="str">
        <x:v>CFG-000002</x:v>
      </x:c>
      <x:c r="C12" s="26" t="str">
        <x:v>efficiency_or_range_core</x:v>
      </x:c>
      <x:c r="D12" s="26" t="str">
        <x:v>P0</x:v>
      </x:c>
      <x:c r="E12" s="26" t="str">
        <x:v>COMPLETE</x:v>
      </x:c>
      <x:c r="F12" s="26" t="str">
        <x:v>A1_OFFICIAL_MARKET</x:v>
      </x:c>
      <x:c r="G12" s="26" t="str">
        <x:v>WEB</x:v>
      </x:c>
      <x:c r="H12" s="26" t="n">
        <x:v>2</x:v>
      </x:c>
      <x:c r="I12" s="36" t="n">
        <x:v>46248</x:v>
      </x:c>
      <x:c r="J12" s="26" t="str">
        <x:v>NOT_FOUND</x:v>
      </x:c>
      <x:c r="K12" s="26" t="str">
        <x:v>Official Turkey P0 sources searched; no authoritative value found. Kept UNKNOWN.</x:v>
      </x:c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QUE-000012</x:v>
      </x:c>
      <x:c r="B13" s="26" t="str">
        <x:v>CFG-000002</x:v>
      </x:c>
      <x:c r="C13" s="26" t="str">
        <x:v>equipment_mvp_core</x:v>
      </x:c>
      <x:c r="D13" s="26" t="str">
        <x:v>P0</x:v>
      </x:c>
      <x:c r="E13" s="26" t="str">
        <x:v>COMPLETE</x:v>
      </x:c>
      <x:c r="F13" s="26" t="str">
        <x:v>A1_OFFICIAL_MARKET</x:v>
      </x:c>
      <x:c r="G13" s="26" t="str">
        <x:v>WEB</x:v>
      </x:c>
      <x:c r="H13" s="26" t="n">
        <x:v>2</x:v>
      </x:c>
      <x:c r="I13" s="36" t="n">
        <x:v>46248</x:v>
      </x:c>
      <x:c r="J13" s="26" t="str">
        <x:v>FOUND</x:v>
      </x:c>
      <x:c r="K13" s="26" t="str">
        <x:v>P0 closure pass completed.</x:v>
      </x:c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QUE-000013</x:v>
      </x:c>
      <x:c r="B14" s="26" t="str">
        <x:v>CFG-000003</x:v>
      </x:c>
      <x:c r="C14" s="26" t="str">
        <x:v>identity_exact_configuration</x:v>
      </x:c>
      <x:c r="D14" s="26" t="str">
        <x:v>P0</x:v>
      </x:c>
      <x:c r="E14" s="26" t="str">
        <x:v>COMPLETE</x:v>
      </x:c>
      <x:c r="F14" s="26" t="str">
        <x:v>A1_OFFICIAL_MARKET</x:v>
      </x:c>
      <x:c r="G14" s="26" t="str">
        <x:v>WEB</x:v>
      </x:c>
      <x:c r="H14" s="26" t="n">
        <x:v>2</x:v>
      </x:c>
      <x:c r="I14" s="36" t="n">
        <x:v>46248</x:v>
      </x:c>
      <x:c r="J14" s="26" t="str">
        <x:v>FOUND</x:v>
      </x:c>
      <x:c r="K14" s="26" t="str">
        <x:v>P0 closure pass completed.</x:v>
      </x:c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QUE-000014</x:v>
      </x:c>
      <x:c r="B15" s="26" t="str">
        <x:v>CFG-000003</x:v>
      </x:c>
      <x:c r="C15" s="26" t="str">
        <x:v>dimensions_core</x:v>
      </x:c>
      <x:c r="D15" s="26" t="str">
        <x:v>P0</x:v>
      </x:c>
      <x:c r="E15" s="26" t="str">
        <x:v>COMPLETE</x:v>
      </x:c>
      <x:c r="F15" s="26" t="str">
        <x:v>A1_OFFICIAL_MARKET</x:v>
      </x:c>
      <x:c r="G15" s="26" t="str">
        <x:v>WEB</x:v>
      </x:c>
      <x:c r="H15" s="26" t="n">
        <x:v>2</x:v>
      </x:c>
      <x:c r="I15" s="36" t="n">
        <x:v>46248</x:v>
      </x:c>
      <x:c r="J15" s="26" t="str">
        <x:v>FOUND</x:v>
      </x:c>
      <x:c r="K15" s="26" t="str">
        <x:v>P0 closure pass completed.</x:v>
      </x:c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QUE-000015</x:v>
      </x:c>
      <x:c r="B16" s="26" t="str">
        <x:v>CFG-000003</x:v>
      </x:c>
      <x:c r="C16" s="26" t="str">
        <x:v>cargo_volume_l</x:v>
      </x:c>
      <x:c r="D16" s="26" t="str">
        <x:v>P0</x:v>
      </x:c>
      <x:c r="E16" s="26" t="str">
        <x:v>COMPLETE</x:v>
      </x:c>
      <x:c r="F16" s="26" t="str">
        <x:v>A1_OFFICIAL_MARKET</x:v>
      </x:c>
      <x:c r="G16" s="26" t="str">
        <x:v>WEB</x:v>
      </x:c>
      <x:c r="H16" s="26" t="n">
        <x:v>2</x:v>
      </x:c>
      <x:c r="I16" s="36" t="n">
        <x:v>46248</x:v>
      </x:c>
      <x:c r="J16" s="26" t="str">
        <x:v>FOUND</x:v>
      </x:c>
      <x:c r="K16" s="26" t="str">
        <x:v>P0 closure pass completed.</x:v>
      </x:c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QUE-000016</x:v>
      </x:c>
      <x:c r="B17" s="26" t="str">
        <x:v>CFG-000003</x:v>
      </x:c>
      <x:c r="C17" s="26" t="str">
        <x:v>ground_clearance_mm</x:v>
      </x:c>
      <x:c r="D17" s="26" t="str">
        <x:v>P0</x:v>
      </x:c>
      <x:c r="E17" s="26" t="str">
        <x:v>COMPLETE</x:v>
      </x:c>
      <x:c r="F17" s="26" t="str">
        <x:v>A1_OFFICIAL_MARKET</x:v>
      </x:c>
      <x:c r="G17" s="26" t="str">
        <x:v>WEB</x:v>
      </x:c>
      <x:c r="H17" s="26" t="n">
        <x:v>2</x:v>
      </x:c>
      <x:c r="I17" s="36" t="n">
        <x:v>46248</x:v>
      </x:c>
      <x:c r="J17" s="26" t="str">
        <x:v>NOT_FOUND</x:v>
      </x:c>
      <x:c r="K17" s="26" t="str">
        <x:v>No official Turkey ground-clearance value found; kept UNKNOWN.</x:v>
      </x:c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QUE-000017</x:v>
      </x:c>
      <x:c r="B18" s="26" t="str">
        <x:v>CFG-000003</x:v>
      </x:c>
      <x:c r="C18" s="26" t="str">
        <x:v>efficiency_or_range_core</x:v>
      </x:c>
      <x:c r="D18" s="26" t="str">
        <x:v>P0</x:v>
      </x:c>
      <x:c r="E18" s="26" t="str">
        <x:v>COMPLETE</x:v>
      </x:c>
      <x:c r="F18" s="26" t="str">
        <x:v>A1_OFFICIAL_MARKET</x:v>
      </x:c>
      <x:c r="G18" s="26" t="str">
        <x:v>WEB</x:v>
      </x:c>
      <x:c r="H18" s="26" t="n">
        <x:v>2</x:v>
      </x:c>
      <x:c r="I18" s="36" t="n">
        <x:v>46248</x:v>
      </x:c>
      <x:c r="J18" s="26" t="str">
        <x:v>FOUND</x:v>
      </x:c>
      <x:c r="K18" s="26" t="str">
        <x:v>P0 closure pass completed.</x:v>
      </x:c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QUE-000018</x:v>
      </x:c>
      <x:c r="B19" s="26" t="str">
        <x:v>CFG-000003</x:v>
      </x:c>
      <x:c r="C19" s="26" t="str">
        <x:v>equipment_mvp_core</x:v>
      </x:c>
      <x:c r="D19" s="26" t="str">
        <x:v>P0</x:v>
      </x:c>
      <x:c r="E19" s="26" t="str">
        <x:v>COMPLETE</x:v>
      </x:c>
      <x:c r="F19" s="26" t="str">
        <x:v>A1_OFFICIAL_MARKET</x:v>
      </x:c>
      <x:c r="G19" s="26" t="str">
        <x:v>WEB</x:v>
      </x:c>
      <x:c r="H19" s="26" t="n">
        <x:v>2</x:v>
      </x:c>
      <x:c r="I19" s="36" t="n">
        <x:v>46248</x:v>
      </x:c>
      <x:c r="J19" s="26" t="str">
        <x:v>FOUND</x:v>
      </x:c>
      <x:c r="K19" s="26" t="str">
        <x:v>P0 closure pass completed.</x:v>
      </x:c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QUE-000019</x:v>
      </x:c>
      <x:c r="B20" s="26" t="str">
        <x:v>CFG-000004</x:v>
      </x:c>
      <x:c r="C20" s="26" t="str">
        <x:v>identity_exact_configuration</x:v>
      </x:c>
      <x:c r="D20" s="26" t="str">
        <x:v>P0</x:v>
      </x:c>
      <x:c r="E20" s="26" t="str">
        <x:v>COMPLETE</x:v>
      </x:c>
      <x:c r="F20" s="26" t="str">
        <x:v>A1_OFFICIAL_MARKET</x:v>
      </x:c>
      <x:c r="G20" s="26" t="str">
        <x:v>WEB</x:v>
      </x:c>
      <x:c r="H20" s="26" t="n">
        <x:v>2</x:v>
      </x:c>
      <x:c r="I20" s="36" t="n">
        <x:v>46248</x:v>
      </x:c>
      <x:c r="J20" s="26" t="str">
        <x:v>FOUND</x:v>
      </x:c>
      <x:c r="K20" s="26" t="str">
        <x:v>P0 closure pass completed.</x:v>
      </x:c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QUE-000020</x:v>
      </x:c>
      <x:c r="B21" s="26" t="str">
        <x:v>CFG-000004</x:v>
      </x:c>
      <x:c r="C21" s="26" t="str">
        <x:v>dimensions_core</x:v>
      </x:c>
      <x:c r="D21" s="26" t="str">
        <x:v>P0</x:v>
      </x:c>
      <x:c r="E21" s="26" t="str">
        <x:v>COMPLETE</x:v>
      </x:c>
      <x:c r="F21" s="26" t="str">
        <x:v>A1_OFFICIAL_MARKET</x:v>
      </x:c>
      <x:c r="G21" s="26" t="str">
        <x:v>WEB</x:v>
      </x:c>
      <x:c r="H21" s="26" t="n">
        <x:v>2</x:v>
      </x:c>
      <x:c r="I21" s="36" t="n">
        <x:v>46248</x:v>
      </x:c>
      <x:c r="J21" s="26" t="str">
        <x:v>FOUND</x:v>
      </x:c>
      <x:c r="K21" s="26" t="str">
        <x:v>P0 closure pass completed.</x:v>
      </x:c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QUE-000021</x:v>
      </x:c>
      <x:c r="B22" s="26" t="str">
        <x:v>CFG-000004</x:v>
      </x:c>
      <x:c r="C22" s="26" t="str">
        <x:v>cargo_volume_l</x:v>
      </x:c>
      <x:c r="D22" s="26" t="str">
        <x:v>P0</x:v>
      </x:c>
      <x:c r="E22" s="26" t="str">
        <x:v>COMPLETE</x:v>
      </x:c>
      <x:c r="F22" s="26" t="str">
        <x:v>A1_OFFICIAL_MARKET</x:v>
      </x:c>
      <x:c r="G22" s="26" t="str">
        <x:v>WEB</x:v>
      </x:c>
      <x:c r="H22" s="26" t="n">
        <x:v>2</x:v>
      </x:c>
      <x:c r="I22" s="36" t="n">
        <x:v>46248</x:v>
      </x:c>
      <x:c r="J22" s="26" t="str">
        <x:v>FOUND</x:v>
      </x:c>
      <x:c r="K22" s="26" t="str">
        <x:v>P0 closure pass completed.</x:v>
      </x:c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QUE-000022</x:v>
      </x:c>
      <x:c r="B23" s="26" t="str">
        <x:v>CFG-000004</x:v>
      </x:c>
      <x:c r="C23" s="26" t="str">
        <x:v>ground_clearance_mm</x:v>
      </x:c>
      <x:c r="D23" s="26" t="str">
        <x:v>P0</x:v>
      </x:c>
      <x:c r="E23" s="26" t="str">
        <x:v>COMPLETE</x:v>
      </x:c>
      <x:c r="F23" s="26" t="str">
        <x:v>A1_OFFICIAL_MARKET</x:v>
      </x:c>
      <x:c r="G23" s="26" t="str">
        <x:v>WEB</x:v>
      </x:c>
      <x:c r="H23" s="26" t="n">
        <x:v>2</x:v>
      </x:c>
      <x:c r="I23" s="36" t="n">
        <x:v>46248</x:v>
      </x:c>
      <x:c r="J23" s="26" t="str">
        <x:v>FOUND</x:v>
      </x:c>
      <x:c r="K23" s="26" t="str">
        <x:v>P0 closure pass completed.</x:v>
      </x:c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QUE-000023</x:v>
      </x:c>
      <x:c r="B24" s="26" t="str">
        <x:v>CFG-000004</x:v>
      </x:c>
      <x:c r="C24" s="26" t="str">
        <x:v>efficiency_or_range_core</x:v>
      </x:c>
      <x:c r="D24" s="26" t="str">
        <x:v>P0</x:v>
      </x:c>
      <x:c r="E24" s="26" t="str">
        <x:v>COMPLETE</x:v>
      </x:c>
      <x:c r="F24" s="26" t="str">
        <x:v>A1_OFFICIAL_MARKET</x:v>
      </x:c>
      <x:c r="G24" s="26" t="str">
        <x:v>WEB</x:v>
      </x:c>
      <x:c r="H24" s="26" t="n">
        <x:v>2</x:v>
      </x:c>
      <x:c r="I24" s="36" t="n">
        <x:v>46248</x:v>
      </x:c>
      <x:c r="J24" s="26" t="str">
        <x:v>FOUND</x:v>
      </x:c>
      <x:c r="K24" s="26" t="str">
        <x:v>P0 closure pass completed.</x:v>
      </x:c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QUE-000024</x:v>
      </x:c>
      <x:c r="B25" s="26" t="str">
        <x:v>CFG-000004</x:v>
      </x:c>
      <x:c r="C25" s="26" t="str">
        <x:v>equipment_mvp_core</x:v>
      </x:c>
      <x:c r="D25" s="26" t="str">
        <x:v>P0</x:v>
      </x:c>
      <x:c r="E25" s="26" t="str">
        <x:v>COMPLETE</x:v>
      </x:c>
      <x:c r="F25" s="26" t="str">
        <x:v>A1_OFFICIAL_MARKET</x:v>
      </x:c>
      <x:c r="G25" s="26" t="str">
        <x:v>WEB</x:v>
      </x:c>
      <x:c r="H25" s="26" t="n">
        <x:v>2</x:v>
      </x:c>
      <x:c r="I25" s="36" t="n">
        <x:v>46248</x:v>
      </x:c>
      <x:c r="J25" s="26" t="str">
        <x:v>FOUND</x:v>
      </x:c>
      <x:c r="K25" s="26" t="str">
        <x:v>P0 closure pass completed.</x:v>
      </x:c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QUE-000025</x:v>
      </x:c>
      <x:c r="B26" s="26" t="str">
        <x:v>CFG-000005</x:v>
      </x:c>
      <x:c r="C26" s="26" t="str">
        <x:v>identity_exact_configuration</x:v>
      </x:c>
      <x:c r="D26" s="26" t="str">
        <x:v>P0</x:v>
      </x:c>
      <x:c r="E26" s="26" t="str">
        <x:v>COMPLETE</x:v>
      </x:c>
      <x:c r="F26" s="26" t="str">
        <x:v>A1_OFFICIAL_MARKET</x:v>
      </x:c>
      <x:c r="G26" s="26" t="str">
        <x:v>WEB</x:v>
      </x:c>
      <x:c r="H26" s="26" t="n">
        <x:v>2</x:v>
      </x:c>
      <x:c r="I26" s="36" t="n">
        <x:v>46248</x:v>
      </x:c>
      <x:c r="J26" s="26" t="str">
        <x:v>FOUND</x:v>
      </x:c>
      <x:c r="K26" s="26" t="str">
        <x:v>P0 closure pass completed.</x:v>
      </x:c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QUE-000026</x:v>
      </x:c>
      <x:c r="B27" s="26" t="str">
        <x:v>CFG-000005</x:v>
      </x:c>
      <x:c r="C27" s="26" t="str">
        <x:v>dimensions_core</x:v>
      </x:c>
      <x:c r="D27" s="26" t="str">
        <x:v>P0</x:v>
      </x:c>
      <x:c r="E27" s="26" t="str">
        <x:v>COMPLETE</x:v>
      </x:c>
      <x:c r="F27" s="26" t="str">
        <x:v>A1_OFFICIAL_MARKET</x:v>
      </x:c>
      <x:c r="G27" s="26" t="str">
        <x:v>WEB</x:v>
      </x:c>
      <x:c r="H27" s="26" t="n">
        <x:v>2</x:v>
      </x:c>
      <x:c r="I27" s="36" t="n">
        <x:v>46248</x:v>
      </x:c>
      <x:c r="J27" s="26" t="str">
        <x:v>FOUND</x:v>
      </x:c>
      <x:c r="K27" s="26" t="str">
        <x:v>P0 closure pass completed.</x:v>
      </x:c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QUE-000027</x:v>
      </x:c>
      <x:c r="B28" s="26" t="str">
        <x:v>CFG-000005</x:v>
      </x:c>
      <x:c r="C28" s="26" t="str">
        <x:v>cargo_volume_l</x:v>
      </x:c>
      <x:c r="D28" s="26" t="str">
        <x:v>P0</x:v>
      </x:c>
      <x:c r="E28" s="26" t="str">
        <x:v>COMPLETE</x:v>
      </x:c>
      <x:c r="F28" s="26" t="str">
        <x:v>A1_OFFICIAL_MARKET</x:v>
      </x:c>
      <x:c r="G28" s="26" t="str">
        <x:v>WEB</x:v>
      </x:c>
      <x:c r="H28" s="26" t="n">
        <x:v>2</x:v>
      </x:c>
      <x:c r="I28" s="36" t="n">
        <x:v>46248</x:v>
      </x:c>
      <x:c r="J28" s="26" t="str">
        <x:v>FOUND</x:v>
      </x:c>
      <x:c r="K28" s="26" t="str">
        <x:v>P0 closure pass completed.</x:v>
      </x:c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QUE-000028</x:v>
      </x:c>
      <x:c r="B29" s="26" t="str">
        <x:v>CFG-000005</x:v>
      </x:c>
      <x:c r="C29" s="26" t="str">
        <x:v>ground_clearance_mm</x:v>
      </x:c>
      <x:c r="D29" s="26" t="str">
        <x:v>P0</x:v>
      </x:c>
      <x:c r="E29" s="26" t="str">
        <x:v>COMPLETE</x:v>
      </x:c>
      <x:c r="F29" s="26" t="str">
        <x:v>A1_OFFICIAL_MARKET</x:v>
      </x:c>
      <x:c r="G29" s="26" t="str">
        <x:v>WEB</x:v>
      </x:c>
      <x:c r="H29" s="26" t="n">
        <x:v>2</x:v>
      </x:c>
      <x:c r="I29" s="36" t="n">
        <x:v>46248</x:v>
      </x:c>
      <x:c r="J29" s="26" t="str">
        <x:v>NOT_FOUND</x:v>
      </x:c>
      <x:c r="K29" s="26" t="str">
        <x:v>No official BYD Turkey ground-clearance value found; kept UNKNOWN.</x:v>
      </x:c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QUE-000029</x:v>
      </x:c>
      <x:c r="B30" s="26" t="str">
        <x:v>CFG-000005</x:v>
      </x:c>
      <x:c r="C30" s="26" t="str">
        <x:v>efficiency_or_range_core</x:v>
      </x:c>
      <x:c r="D30" s="26" t="str">
        <x:v>P0</x:v>
      </x:c>
      <x:c r="E30" s="26" t="str">
        <x:v>COMPLETE</x:v>
      </x:c>
      <x:c r="F30" s="26" t="str">
        <x:v>A1_OFFICIAL_MARKET</x:v>
      </x:c>
      <x:c r="G30" s="26" t="str">
        <x:v>WEB</x:v>
      </x:c>
      <x:c r="H30" s="26" t="n">
        <x:v>2</x:v>
      </x:c>
      <x:c r="I30" s="36" t="n">
        <x:v>46248</x:v>
      </x:c>
      <x:c r="J30" s="26" t="str">
        <x:v>FOUND</x:v>
      </x:c>
      <x:c r="K30" s="26" t="str">
        <x:v>P0 closure pass completed.</x:v>
      </x:c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QUE-000030</x:v>
      </x:c>
      <x:c r="B31" s="26" t="str">
        <x:v>CFG-000005</x:v>
      </x:c>
      <x:c r="C31" s="26" t="str">
        <x:v>equipment_mvp_core</x:v>
      </x:c>
      <x:c r="D31" s="26" t="str">
        <x:v>P0</x:v>
      </x:c>
      <x:c r="E31" s="26" t="str">
        <x:v>COMPLETE</x:v>
      </x:c>
      <x:c r="F31" s="26" t="str">
        <x:v>A1_OFFICIAL_MARKET</x:v>
      </x:c>
      <x:c r="G31" s="26" t="str">
        <x:v>WEB</x:v>
      </x:c>
      <x:c r="H31" s="26" t="n">
        <x:v>2</x:v>
      </x:c>
      <x:c r="I31" s="36" t="n">
        <x:v>46248</x:v>
      </x:c>
      <x:c r="J31" s="26" t="str">
        <x:v>FOUND</x:v>
      </x:c>
      <x:c r="K31" s="26" t="str">
        <x:v>P0 closure pass completed.</x:v>
      </x:c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QUE-000031</x:v>
      </x:c>
      <x:c r="B32" s="26" t="str">
        <x:v>CFG-000006</x:v>
      </x:c>
      <x:c r="C32" s="26" t="str">
        <x:v>identity_exact_configuration</x:v>
      </x:c>
      <x:c r="D32" s="26" t="str">
        <x:v>P0</x:v>
      </x:c>
      <x:c r="E32" s="26" t="str">
        <x:v>COMPLETE</x:v>
      </x:c>
      <x:c r="F32" s="26" t="str">
        <x:v>A1_OFFICIAL_MARKET</x:v>
      </x:c>
      <x:c r="G32" s="26" t="str">
        <x:v>WEB</x:v>
      </x:c>
      <x:c r="H32" s="26" t="n">
        <x:v>2</x:v>
      </x:c>
      <x:c r="I32" s="36" t="n">
        <x:v>46248</x:v>
      </x:c>
      <x:c r="J32" s="26" t="str">
        <x:v>FOUND</x:v>
      </x:c>
      <x:c r="K32" s="26" t="str">
        <x:v>P0 closure pass completed.</x:v>
      </x:c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QUE-000032</x:v>
      </x:c>
      <x:c r="B33" s="26" t="str">
        <x:v>CFG-000006</x:v>
      </x:c>
      <x:c r="C33" s="26" t="str">
        <x:v>dimensions_core</x:v>
      </x:c>
      <x:c r="D33" s="26" t="str">
        <x:v>P0</x:v>
      </x:c>
      <x:c r="E33" s="26" t="str">
        <x:v>COMPLETE</x:v>
      </x:c>
      <x:c r="F33" s="26" t="str">
        <x:v>A1_OFFICIAL_MARKET</x:v>
      </x:c>
      <x:c r="G33" s="26" t="str">
        <x:v>WEB</x:v>
      </x:c>
      <x:c r="H33" s="26" t="n">
        <x:v>2</x:v>
      </x:c>
      <x:c r="I33" s="36" t="n">
        <x:v>46248</x:v>
      </x:c>
      <x:c r="J33" s="26" t="str">
        <x:v>FOUND</x:v>
      </x:c>
      <x:c r="K33" s="26" t="str">
        <x:v>P0 closure pass completed.</x:v>
      </x:c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 t="str">
        <x:v>QUE-000033</x:v>
      </x:c>
      <x:c r="B34" s="26" t="str">
        <x:v>CFG-000006</x:v>
      </x:c>
      <x:c r="C34" s="26" t="str">
        <x:v>cargo_volume_l</x:v>
      </x:c>
      <x:c r="D34" s="26" t="str">
        <x:v>P0</x:v>
      </x:c>
      <x:c r="E34" s="26" t="str">
        <x:v>COMPLETE</x:v>
      </x:c>
      <x:c r="F34" s="26" t="str">
        <x:v>A1_OFFICIAL_MARKET</x:v>
      </x:c>
      <x:c r="G34" s="26" t="str">
        <x:v>WEB</x:v>
      </x:c>
      <x:c r="H34" s="26" t="n">
        <x:v>2</x:v>
      </x:c>
      <x:c r="I34" s="36" t="n">
        <x:v>46248</x:v>
      </x:c>
      <x:c r="J34" s="26" t="str">
        <x:v>FOUND</x:v>
      </x:c>
      <x:c r="K34" s="26" t="str">
        <x:v>P0 closure pass completed.</x:v>
      </x:c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 t="str">
        <x:v>QUE-000034</x:v>
      </x:c>
      <x:c r="B35" s="26" t="str">
        <x:v>CFG-000006</x:v>
      </x:c>
      <x:c r="C35" s="26" t="str">
        <x:v>ground_clearance_mm</x:v>
      </x:c>
      <x:c r="D35" s="26" t="str">
        <x:v>P0</x:v>
      </x:c>
      <x:c r="E35" s="26" t="str">
        <x:v>COMPLETE</x:v>
      </x:c>
      <x:c r="F35" s="26" t="str">
        <x:v>A1_OFFICIAL_MARKET</x:v>
      </x:c>
      <x:c r="G35" s="26" t="str">
        <x:v>WEB</x:v>
      </x:c>
      <x:c r="H35" s="26" t="n">
        <x:v>2</x:v>
      </x:c>
      <x:c r="I35" s="36" t="n">
        <x:v>46248</x:v>
      </x:c>
      <x:c r="J35" s="26" t="str">
        <x:v>FOUND</x:v>
      </x:c>
      <x:c r="K35" s="26" t="str">
        <x:v>P0 closure pass completed.</x:v>
      </x:c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 t="str">
        <x:v>QUE-000035</x:v>
      </x:c>
      <x:c r="B36" s="26" t="str">
        <x:v>CFG-000006</x:v>
      </x:c>
      <x:c r="C36" s="26" t="str">
        <x:v>efficiency_or_range_core</x:v>
      </x:c>
      <x:c r="D36" s="26" t="str">
        <x:v>P0</x:v>
      </x:c>
      <x:c r="E36" s="26" t="str">
        <x:v>COMPLETE</x:v>
      </x:c>
      <x:c r="F36" s="26" t="str">
        <x:v>A1_OFFICIAL_MARKET</x:v>
      </x:c>
      <x:c r="G36" s="26" t="str">
        <x:v>WEB</x:v>
      </x:c>
      <x:c r="H36" s="26" t="n">
        <x:v>2</x:v>
      </x:c>
      <x:c r="I36" s="36" t="n">
        <x:v>46248</x:v>
      </x:c>
      <x:c r="J36" s="26" t="str">
        <x:v>FOUND</x:v>
      </x:c>
      <x:c r="K36" s="26" t="str">
        <x:v>P0 closure pass completed.</x:v>
      </x:c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 t="str">
        <x:v>QUE-000036</x:v>
      </x:c>
      <x:c r="B37" s="26" t="str">
        <x:v>CFG-000006</x:v>
      </x:c>
      <x:c r="C37" s="26" t="str">
        <x:v>equipment_mvp_core</x:v>
      </x:c>
      <x:c r="D37" s="26" t="str">
        <x:v>P0</x:v>
      </x:c>
      <x:c r="E37" s="26" t="str">
        <x:v>COMPLETE</x:v>
      </x:c>
      <x:c r="F37" s="26" t="str">
        <x:v>A1_OFFICIAL_MARKET</x:v>
      </x:c>
      <x:c r="G37" s="26" t="str">
        <x:v>WEB</x:v>
      </x:c>
      <x:c r="H37" s="26" t="n">
        <x:v>2</x:v>
      </x:c>
      <x:c r="I37" s="36" t="n">
        <x:v>46248</x:v>
      </x:c>
      <x:c r="J37" s="26" t="str">
        <x:v>FOUND</x:v>
      </x:c>
      <x:c r="K37" s="26" t="str">
        <x:v>P0 closure pass completed.</x:v>
      </x:c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 t="str">
        <x:v>QUE-000037</x:v>
      </x:c>
      <x:c r="B38" s="26" t="str">
        <x:v>CFG-000007</x:v>
      </x:c>
      <x:c r="C38" s="26" t="str">
        <x:v>identity_exact_configuration</x:v>
      </x:c>
      <x:c r="D38" s="26" t="str">
        <x:v>P0</x:v>
      </x:c>
      <x:c r="E38" s="26" t="str">
        <x:v>IN_PROGRESS</x:v>
      </x:c>
      <x:c r="F38" s="26" t="str">
        <x:v>A1_OFFICIAL_MARKET</x:v>
      </x:c>
      <x:c r="G38" s="26" t="str">
        <x:v>WEB</x:v>
      </x:c>
      <x:c r="H38" s="26" t="n">
        <x:v>2</x:v>
      </x:c>
      <x:c r="I38" s="36" t="n">
        <x:v>46248</x:v>
      </x:c>
      <x:c r="J38" s="26" t="str">
        <x:v>PENDING</x:v>
      </x:c>
      <x:c r="K38" s="26" t="str">
        <x:v>Togg closure retracted: exact generation/configuration applicability remains UNVERIFIED/PARTIAL.</x:v>
      </x:c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 t="str">
        <x:v>QUE-000038</x:v>
      </x:c>
      <x:c r="B39" s="26" t="str">
        <x:v>CFG-000007</x:v>
      </x:c>
      <x:c r="C39" s="26" t="str">
        <x:v>dimensions_core</x:v>
      </x:c>
      <x:c r="D39" s="26" t="str">
        <x:v>P0</x:v>
      </x:c>
      <x:c r="E39" s="26" t="str">
        <x:v>COMPLETE</x:v>
      </x:c>
      <x:c r="F39" s="26" t="str">
        <x:v>A1_OFFICIAL_MARKET</x:v>
      </x:c>
      <x:c r="G39" s="26" t="str">
        <x:v>WEB</x:v>
      </x:c>
      <x:c r="H39" s="26" t="n">
        <x:v>2</x:v>
      </x:c>
      <x:c r="I39" s="36" t="n">
        <x:v>46248</x:v>
      </x:c>
      <x:c r="J39" s="26" t="str">
        <x:v>NOT_FOUND</x:v>
      </x:c>
      <x:c r="K39" s="26" t="str">
        <x:v>No current official Turkey dimensions set safely located in closure pass; kept UNKNOWN.</x:v>
      </x:c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 t="str">
        <x:v>QUE-000039</x:v>
      </x:c>
      <x:c r="B40" s="26" t="str">
        <x:v>CFG-000007</x:v>
      </x:c>
      <x:c r="C40" s="26" t="str">
        <x:v>cargo_volume_l</x:v>
      </x:c>
      <x:c r="D40" s="26" t="str">
        <x:v>P0</x:v>
      </x:c>
      <x:c r="E40" s="26" t="str">
        <x:v>COMPLETE</x:v>
      </x:c>
      <x:c r="F40" s="26" t="str">
        <x:v>A1_OFFICIAL_MARKET</x:v>
      </x:c>
      <x:c r="G40" s="26" t="str">
        <x:v>WEB</x:v>
      </x:c>
      <x:c r="H40" s="26" t="n">
        <x:v>2</x:v>
      </x:c>
      <x:c r="I40" s="36" t="n">
        <x:v>46248</x:v>
      </x:c>
      <x:c r="J40" s="26" t="str">
        <x:v>FOUND</x:v>
      </x:c>
      <x:c r="K40" s="26" t="str">
        <x:v>505 L verified from official T10X V2 Media Center.</x:v>
      </x:c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 t="str">
        <x:v>QUE-000040</x:v>
      </x:c>
      <x:c r="B41" s="26" t="str">
        <x:v>CFG-000007</x:v>
      </x:c>
      <x:c r="C41" s="26" t="str">
        <x:v>ground_clearance_mm</x:v>
      </x:c>
      <x:c r="D41" s="26" t="str">
        <x:v>P0</x:v>
      </x:c>
      <x:c r="E41" s="26" t="str">
        <x:v>COMPLETE</x:v>
      </x:c>
      <x:c r="F41" s="26" t="str">
        <x:v>A1_OFFICIAL_MARKET</x:v>
      </x:c>
      <x:c r="G41" s="26" t="str">
        <x:v>WEB</x:v>
      </x:c>
      <x:c r="H41" s="26" t="n">
        <x:v>2</x:v>
      </x:c>
      <x:c r="I41" s="36" t="n">
        <x:v>46248</x:v>
      </x:c>
      <x:c r="J41" s="26" t="str">
        <x:v>NOT_FOUND</x:v>
      </x:c>
      <x:c r="K41" s="26" t="str">
        <x:v>No current official Turkey ground-clearance value found; kept UNKNOWN.</x:v>
      </x:c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 t="str">
        <x:v>QUE-000041</x:v>
      </x:c>
      <x:c r="B42" s="26" t="str">
        <x:v>CFG-000007</x:v>
      </x:c>
      <x:c r="C42" s="26" t="str">
        <x:v>efficiency_or_range_core</x:v>
      </x:c>
      <x:c r="D42" s="26" t="str">
        <x:v>P0</x:v>
      </x:c>
      <x:c r="E42" s="26" t="str">
        <x:v>COMPLETE</x:v>
      </x:c>
      <x:c r="F42" s="26" t="str">
        <x:v>A1_OFFICIAL_MARKET</x:v>
      </x:c>
      <x:c r="G42" s="26" t="str">
        <x:v>WEB</x:v>
      </x:c>
      <x:c r="H42" s="26" t="n">
        <x:v>2</x:v>
      </x:c>
      <x:c r="I42" s="36" t="n">
        <x:v>46248</x:v>
      </x:c>
      <x:c r="J42" s="26" t="str">
        <x:v>FOUND</x:v>
      </x:c>
      <x:c r="K42" s="26" t="str">
        <x:v>610 km combined WLTP (18-inch) verified for T10X V2; generic 523 km figure retained separately as non-exact.</x:v>
      </x:c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 t="str">
        <x:v>QUE-000042</x:v>
      </x:c>
      <x:c r="B43" s="26" t="str">
        <x:v>CFG-000007</x:v>
      </x:c>
      <x:c r="C43" s="26" t="str">
        <x:v>equipment_mvp_core</x:v>
      </x:c>
      <x:c r="D43" s="26" t="str">
        <x:v>P0</x:v>
      </x:c>
      <x:c r="E43" s="26" t="str">
        <x:v>COMPLETE</x:v>
      </x:c>
      <x:c r="F43" s="26" t="str">
        <x:v>A1_OFFICIAL_MARKET</x:v>
      </x:c>
      <x:c r="G43" s="26" t="str">
        <x:v>WEB</x:v>
      </x:c>
      <x:c r="H43" s="26" t="n">
        <x:v>2</x:v>
      </x:c>
      <x:c r="I43" s="36" t="n">
        <x:v>46248</x:v>
      </x:c>
      <x:c r="J43" s="26" t="str">
        <x:v>FOUND</x:v>
      </x:c>
      <x:c r="K43" s="26" t="str">
        <x:v>ACC verified standard for Apr 2025+ T10X; remaining trim-dependent equipment remains UNKNOWN where unresolved.</x:v>
      </x:c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 t="str">
        <x:v>QUE-000043</x:v>
      </x:c>
      <x:c r="B44" s="26" t="str">
        <x:v>CFG-000008</x:v>
      </x:c>
      <x:c r="C44" s="26" t="str">
        <x:v>identity_exact_configuration</x:v>
      </x:c>
      <x:c r="D44" s="26" t="str">
        <x:v>P0</x:v>
      </x:c>
      <x:c r="E44" s="26" t="str">
        <x:v>COMPLETE</x:v>
      </x:c>
      <x:c r="F44" s="26" t="str">
        <x:v>A1_OFFICIAL_MARKET</x:v>
      </x:c>
      <x:c r="G44" s="26" t="str">
        <x:v>WEB</x:v>
      </x:c>
      <x:c r="H44" s="26" t="n">
        <x:v>2</x:v>
      </x:c>
      <x:c r="I44" s="36" t="n">
        <x:v>46248</x:v>
      </x:c>
      <x:c r="J44" s="26" t="str">
        <x:v>FOUND</x:v>
      </x:c>
      <x:c r="K44" s="26" t="str">
        <x:v>P0 closure pass completed.</x:v>
      </x:c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 t="str">
        <x:v>QUE-000044</x:v>
      </x:c>
      <x:c r="B45" s="26" t="str">
        <x:v>CFG-000008</x:v>
      </x:c>
      <x:c r="C45" s="26" t="str">
        <x:v>dimensions_core</x:v>
      </x:c>
      <x:c r="D45" s="26" t="str">
        <x:v>P0</x:v>
      </x:c>
      <x:c r="E45" s="26" t="str">
        <x:v>COMPLETE</x:v>
      </x:c>
      <x:c r="F45" s="26" t="str">
        <x:v>A1_OFFICIAL_MARKET</x:v>
      </x:c>
      <x:c r="G45" s="26" t="str">
        <x:v>WEB</x:v>
      </x:c>
      <x:c r="H45" s="26" t="n">
        <x:v>2</x:v>
      </x:c>
      <x:c r="I45" s="36" t="n">
        <x:v>46248</x:v>
      </x:c>
      <x:c r="J45" s="26" t="str">
        <x:v>FOUND</x:v>
      </x:c>
      <x:c r="K45" s="26" t="str">
        <x:v>P0 closure pass completed.</x:v>
      </x:c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 t="str">
        <x:v>QUE-000045</x:v>
      </x:c>
      <x:c r="B46" s="26" t="str">
        <x:v>CFG-000008</x:v>
      </x:c>
      <x:c r="C46" s="26" t="str">
        <x:v>cargo_volume_l</x:v>
      </x:c>
      <x:c r="D46" s="26" t="str">
        <x:v>P0</x:v>
      </x:c>
      <x:c r="E46" s="26" t="str">
        <x:v>COMPLETE</x:v>
      </x:c>
      <x:c r="F46" s="26" t="str">
        <x:v>A1_OFFICIAL_MARKET</x:v>
      </x:c>
      <x:c r="G46" s="26" t="str">
        <x:v>WEB</x:v>
      </x:c>
      <x:c r="H46" s="26" t="n">
        <x:v>2</x:v>
      </x:c>
      <x:c r="I46" s="36" t="n">
        <x:v>46248</x:v>
      </x:c>
      <x:c r="J46" s="26" t="str">
        <x:v>FOUND</x:v>
      </x:c>
      <x:c r="K46" s="26" t="str">
        <x:v>410 L normal cargo verified; 328 dm3 VDA retained in measurement context.</x:v>
      </x:c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 t="str">
        <x:v>QUE-000046</x:v>
      </x:c>
      <x:c r="B47" s="26" t="str">
        <x:v>CFG-000008</x:v>
      </x:c>
      <x:c r="C47" s="26" t="str">
        <x:v>ground_clearance_mm</x:v>
      </x:c>
      <x:c r="D47" s="26" t="str">
        <x:v>P0</x:v>
      </x:c>
      <x:c r="E47" s="26" t="str">
        <x:v>COMPLETE</x:v>
      </x:c>
      <x:c r="F47" s="26" t="str">
        <x:v>A1_OFFICIAL_MARKET</x:v>
      </x:c>
      <x:c r="G47" s="26" t="str">
        <x:v>WEB</x:v>
      </x:c>
      <x:c r="H47" s="26" t="n">
        <x:v>2</x:v>
      </x:c>
      <x:c r="I47" s="36" t="n">
        <x:v>46248</x:v>
      </x:c>
      <x:c r="J47" s="26" t="str">
        <x:v>FOUND</x:v>
      </x:c>
      <x:c r="K47" s="26" t="str">
        <x:v>P0 closure pass completed.</x:v>
      </x:c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 t="str">
        <x:v>QUE-000047</x:v>
      </x:c>
      <x:c r="B48" s="26" t="str">
        <x:v>CFG-000008</x:v>
      </x:c>
      <x:c r="C48" s="26" t="str">
        <x:v>efficiency_or_range_core</x:v>
      </x:c>
      <x:c r="D48" s="26" t="str">
        <x:v>P0</x:v>
      </x:c>
      <x:c r="E48" s="26" t="str">
        <x:v>COMPLETE</x:v>
      </x:c>
      <x:c r="F48" s="26" t="str">
        <x:v>A1_OFFICIAL_MARKET</x:v>
      </x:c>
      <x:c r="G48" s="26" t="str">
        <x:v>WEB</x:v>
      </x:c>
      <x:c r="H48" s="26" t="n">
        <x:v>2</x:v>
      </x:c>
      <x:c r="I48" s="36" t="n">
        <x:v>46248</x:v>
      </x:c>
      <x:c r="J48" s="26" t="str">
        <x:v>FOUND</x:v>
      </x:c>
      <x:c r="K48" s="26" t="str">
        <x:v>P0 closure pass completed.</x:v>
      </x:c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 t="str">
        <x:v>QUE-000048</x:v>
      </x:c>
      <x:c r="B49" s="26" t="str">
        <x:v>CFG-000008</x:v>
      </x:c>
      <x:c r="C49" s="26" t="str">
        <x:v>equipment_mvp_core</x:v>
      </x:c>
      <x:c r="D49" s="26" t="str">
        <x:v>P0</x:v>
      </x:c>
      <x:c r="E49" s="26" t="str">
        <x:v>COMPLETE</x:v>
      </x:c>
      <x:c r="F49" s="26" t="str">
        <x:v>A1_OFFICIAL_MARKET</x:v>
      </x:c>
      <x:c r="G49" s="26" t="str">
        <x:v>WEB</x:v>
      </x:c>
      <x:c r="H49" s="26" t="n">
        <x:v>2</x:v>
      </x:c>
      <x:c r="I49" s="36" t="n">
        <x:v>46248</x:v>
      </x:c>
      <x:c r="J49" s="26" t="str">
        <x:v>FOUND</x:v>
      </x:c>
      <x:c r="K49" s="26" t="str">
        <x:v>P0 closure pass completed.</x:v>
      </x:c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 t="str">
        <x:v>QUE-000049</x:v>
      </x:c>
      <x:c r="B50" s="26" t="str">
        <x:v>CFG-000009</x:v>
      </x:c>
      <x:c r="C50" s="26" t="str">
        <x:v>identity</x:v>
      </x:c>
      <x:c r="D50" s="26" t="str">
        <x:v>P0</x:v>
      </x:c>
      <x:c r="E50" s="26" t="str">
        <x:v>COMPLETE</x:v>
      </x:c>
      <x:c r="F50" s="26" t="str">
        <x:v>A1_OFFICIAL_MARKET</x:v>
      </x:c>
      <x:c r="G50" s="26" t="str">
        <x:v>WEB</x:v>
      </x:c>
      <x:c r="H50" s="26" t="n">
        <x:v>1</x:v>
      </x:c>
      <x:c r="I50" s="36" t="n">
        <x:v>46248</x:v>
      </x:c>
      <x:c r="J50" s="26" t="str">
        <x:v>FOUND</x:v>
      </x:c>
      <x:c r="K50" s="26" t="str">
        <x:v>SCALE_BATCH_01 stop condition; FOUND. Missing non-material fields remain explicit.</x:v>
      </x:c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 t="str">
        <x:v>QUE-000050</x:v>
      </x:c>
      <x:c r="B51" s="26" t="str">
        <x:v>CFG-000009</x:v>
      </x:c>
      <x:c r="C51" s="26" t="str">
        <x:v>technical</x:v>
      </x:c>
      <x:c r="D51" s="26" t="str">
        <x:v>P0</x:v>
      </x:c>
      <x:c r="E51" s="26" t="str">
        <x:v>COMPLETE</x:v>
      </x:c>
      <x:c r="F51" s="26" t="str">
        <x:v>A1_OFFICIAL_MARKET</x:v>
      </x:c>
      <x:c r="G51" s="26" t="str">
        <x:v>WEB</x:v>
      </x:c>
      <x:c r="H51" s="26" t="n">
        <x:v>1</x:v>
      </x:c>
      <x:c r="I51" s="36" t="n">
        <x:v>46248</x:v>
      </x:c>
      <x:c r="J51" s="26" t="str">
        <x:v>FOUND</x:v>
      </x:c>
      <x:c r="K51" s="26" t="str">
        <x:v>SCALE_BATCH_01 stop condition; FOUND. Missing non-material fields remain explicit.</x:v>
      </x:c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 t="str">
        <x:v>QUE-000051</x:v>
      </x:c>
      <x:c r="B52" s="26" t="str">
        <x:v>CFG-000009</x:v>
      </x:c>
      <x:c r="C52" s="26" t="str">
        <x:v>efficiency_or_range</x:v>
      </x:c>
      <x:c r="D52" s="26" t="str">
        <x:v>P0</x:v>
      </x:c>
      <x:c r="E52" s="26" t="str">
        <x:v>COMPLETE</x:v>
      </x:c>
      <x:c r="F52" s="26" t="str">
        <x:v>A1_OFFICIAL_MARKET</x:v>
      </x:c>
      <x:c r="G52" s="26" t="str">
        <x:v>WEB</x:v>
      </x:c>
      <x:c r="H52" s="26" t="n">
        <x:v>1</x:v>
      </x:c>
      <x:c r="I52" s="36" t="n">
        <x:v>46248</x:v>
      </x:c>
      <x:c r="J52" s="26" t="str">
        <x:v>FOUND</x:v>
      </x:c>
      <x:c r="K52" s="26" t="str">
        <x:v>SCALE_BATCH_01 stop condition; FOUND. Missing non-material fields remain explicit.</x:v>
      </x:c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 t="str">
        <x:v>QUE-000052</x:v>
      </x:c>
      <x:c r="B53" s="26" t="str">
        <x:v>CFG-000009</x:v>
      </x:c>
      <x:c r="C53" s="26" t="str">
        <x:v>family_practicality</x:v>
      </x:c>
      <x:c r="D53" s="26" t="str">
        <x:v>P0</x:v>
      </x:c>
      <x:c r="E53" s="26" t="str">
        <x:v>COMPLETE</x:v>
      </x:c>
      <x:c r="F53" s="26" t="str">
        <x:v>A1_OFFICIAL_MARKET</x:v>
      </x:c>
      <x:c r="G53" s="26" t="str">
        <x:v>WEB</x:v>
      </x:c>
      <x:c r="H53" s="26" t="n">
        <x:v>1</x:v>
      </x:c>
      <x:c r="I53" s="36" t="n">
        <x:v>46248</x:v>
      </x:c>
      <x:c r="J53" s="26" t="str">
        <x:v>FOUND</x:v>
      </x:c>
      <x:c r="K53" s="26" t="str">
        <x:v>SCALE_BATCH_01 stop condition; FOUND. Missing non-material fields remain explicit.</x:v>
      </x:c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 t="str">
        <x:v>QUE-000053</x:v>
      </x:c>
      <x:c r="B54" s="26" t="str">
        <x:v>CFG-000009</x:v>
      </x:c>
      <x:c r="C54" s="26" t="str">
        <x:v>rough_road</x:v>
      </x:c>
      <x:c r="D54" s="26" t="str">
        <x:v>P0</x:v>
      </x:c>
      <x:c r="E54" s="26" t="str">
        <x:v>COMPLETE</x:v>
      </x:c>
      <x:c r="F54" s="26" t="str">
        <x:v>A1_OFFICIAL_MARKET</x:v>
      </x:c>
      <x:c r="G54" s="26" t="str">
        <x:v>WEB</x:v>
      </x:c>
      <x:c r="H54" s="26" t="n">
        <x:v>1</x:v>
      </x:c>
      <x:c r="I54" s="36" t="n">
        <x:v>46248</x:v>
      </x:c>
      <x:c r="J54" s="26" t="str">
        <x:v>NOT_FOUND</x:v>
      </x:c>
      <x:c r="K54" s="26" t="str">
        <x:v>SCALE_BATCH_01 stop condition; NOT_APPLICABLE. Missing non-material fields remain explicit.</x:v>
      </x:c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 t="str">
        <x:v>QUE-000054</x:v>
      </x:c>
      <x:c r="B55" s="26" t="str">
        <x:v>CFG-000009</x:v>
      </x:c>
      <x:c r="C55" s="26" t="str">
        <x:v>equipment</x:v>
      </x:c>
      <x:c r="D55" s="26" t="str">
        <x:v>P0</x:v>
      </x:c>
      <x:c r="E55" s="26" t="str">
        <x:v>COMPLETE</x:v>
      </x:c>
      <x:c r="F55" s="26" t="str">
        <x:v>A1_OFFICIAL_MARKET</x:v>
      </x:c>
      <x:c r="G55" s="26" t="str">
        <x:v>WEB</x:v>
      </x:c>
      <x:c r="H55" s="26" t="n">
        <x:v>1</x:v>
      </x:c>
      <x:c r="I55" s="36" t="n">
        <x:v>46248</x:v>
      </x:c>
      <x:c r="J55" s="26" t="str">
        <x:v>FOUND</x:v>
      </x:c>
      <x:c r="K55" s="26" t="str">
        <x:v>SCALE_BATCH_01 stop condition; FOUND. Missing non-material fields remain explicit.</x:v>
      </x:c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 t="str">
        <x:v>QUE-000055</x:v>
      </x:c>
      <x:c r="B56" s="26" t="str">
        <x:v>CFG-000009</x:v>
      </x:c>
      <x:c r="C56" s="26" t="str">
        <x:v>source_provenance</x:v>
      </x:c>
      <x:c r="D56" s="26" t="str">
        <x:v>P0</x:v>
      </x:c>
      <x:c r="E56" s="26" t="str">
        <x:v>COMPLETE</x:v>
      </x:c>
      <x:c r="F56" s="26" t="str">
        <x:v>A1_OFFICIAL_MARKET</x:v>
      </x:c>
      <x:c r="G56" s="26" t="str">
        <x:v>WEB</x:v>
      </x:c>
      <x:c r="H56" s="26" t="n">
        <x:v>1</x:v>
      </x:c>
      <x:c r="I56" s="36" t="n">
        <x:v>46248</x:v>
      </x:c>
      <x:c r="J56" s="26" t="str">
        <x:v>FOUND</x:v>
      </x:c>
      <x:c r="K56" s="26" t="str">
        <x:v>SCALE_BATCH_01 stop condition; FOUND. Missing non-material fields remain explicit.</x:v>
      </x:c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 t="str">
        <x:v>QUE-000056</x:v>
      </x:c>
      <x:c r="B57" s="26" t="str">
        <x:v>CFG-000010</x:v>
      </x:c>
      <x:c r="C57" s="26" t="str">
        <x:v>identity</x:v>
      </x:c>
      <x:c r="D57" s="26" t="str">
        <x:v>P0</x:v>
      </x:c>
      <x:c r="E57" s="26" t="str">
        <x:v>COMPLETE</x:v>
      </x:c>
      <x:c r="F57" s="26" t="str">
        <x:v>A1_OFFICIAL_MARKET</x:v>
      </x:c>
      <x:c r="G57" s="26" t="str">
        <x:v>WEB</x:v>
      </x:c>
      <x:c r="H57" s="26" t="n">
        <x:v>1</x:v>
      </x:c>
      <x:c r="I57" s="36" t="n">
        <x:v>46248</x:v>
      </x:c>
      <x:c r="J57" s="26" t="str">
        <x:v>FOUND</x:v>
      </x:c>
      <x:c r="K57" s="26" t="str">
        <x:v>SCALE_BATCH_01 stop condition; FOUND. Missing non-material fields remain explicit.</x:v>
      </x:c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 t="str">
        <x:v>QUE-000057</x:v>
      </x:c>
      <x:c r="B58" s="26" t="str">
        <x:v>CFG-000010</x:v>
      </x:c>
      <x:c r="C58" s="26" t="str">
        <x:v>technical</x:v>
      </x:c>
      <x:c r="D58" s="26" t="str">
        <x:v>P0</x:v>
      </x:c>
      <x:c r="E58" s="26" t="str">
        <x:v>COMPLETE</x:v>
      </x:c>
      <x:c r="F58" s="26" t="str">
        <x:v>A1_OFFICIAL_MARKET</x:v>
      </x:c>
      <x:c r="G58" s="26" t="str">
        <x:v>WEB</x:v>
      </x:c>
      <x:c r="H58" s="26" t="n">
        <x:v>1</x:v>
      </x:c>
      <x:c r="I58" s="36" t="n">
        <x:v>46248</x:v>
      </x:c>
      <x:c r="J58" s="26" t="str">
        <x:v>FOUND</x:v>
      </x:c>
      <x:c r="K58" s="26" t="str">
        <x:v>SCALE_BATCH_01 stop condition; FOUND. Missing non-material fields remain explicit.</x:v>
      </x:c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 t="str">
        <x:v>QUE-000058</x:v>
      </x:c>
      <x:c r="B59" s="26" t="str">
        <x:v>CFG-000010</x:v>
      </x:c>
      <x:c r="C59" s="26" t="str">
        <x:v>efficiency_or_range</x:v>
      </x:c>
      <x:c r="D59" s="26" t="str">
        <x:v>P0</x:v>
      </x:c>
      <x:c r="E59" s="26" t="str">
        <x:v>COMPLETE</x:v>
      </x:c>
      <x:c r="F59" s="26" t="str">
        <x:v>A1_OFFICIAL_MARKET</x:v>
      </x:c>
      <x:c r="G59" s="26" t="str">
        <x:v>WEB</x:v>
      </x:c>
      <x:c r="H59" s="26" t="n">
        <x:v>1</x:v>
      </x:c>
      <x:c r="I59" s="36" t="n">
        <x:v>46248</x:v>
      </x:c>
      <x:c r="J59" s="26" t="str">
        <x:v>FOUND</x:v>
      </x:c>
      <x:c r="K59" s="26" t="str">
        <x:v>SCALE_BATCH_01 stop condition; FOUND. Missing non-material fields remain explicit.</x:v>
      </x:c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 t="str">
        <x:v>QUE-000059</x:v>
      </x:c>
      <x:c r="B60" s="26" t="str">
        <x:v>CFG-000010</x:v>
      </x:c>
      <x:c r="C60" s="26" t="str">
        <x:v>family_practicality</x:v>
      </x:c>
      <x:c r="D60" s="26" t="str">
        <x:v>P0</x:v>
      </x:c>
      <x:c r="E60" s="26" t="str">
        <x:v>COMPLETE</x:v>
      </x:c>
      <x:c r="F60" s="26" t="str">
        <x:v>A1_OFFICIAL_MARKET</x:v>
      </x:c>
      <x:c r="G60" s="26" t="str">
        <x:v>WEB</x:v>
      </x:c>
      <x:c r="H60" s="26" t="n">
        <x:v>1</x:v>
      </x:c>
      <x:c r="I60" s="36" t="n">
        <x:v>46248</x:v>
      </x:c>
      <x:c r="J60" s="26" t="str">
        <x:v>FOUND</x:v>
      </x:c>
      <x:c r="K60" s="26" t="str">
        <x:v>SCALE_BATCH_01 stop condition; FOUND. Missing non-material fields remain explicit.</x:v>
      </x:c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 t="str">
        <x:v>QUE-000060</x:v>
      </x:c>
      <x:c r="B61" s="26" t="str">
        <x:v>CFG-000010</x:v>
      </x:c>
      <x:c r="C61" s="26" t="str">
        <x:v>rough_road</x:v>
      </x:c>
      <x:c r="D61" s="26" t="str">
        <x:v>P0</x:v>
      </x:c>
      <x:c r="E61" s="26" t="str">
        <x:v>COMPLETE</x:v>
      </x:c>
      <x:c r="F61" s="26" t="str">
        <x:v>A1_OFFICIAL_MARKET</x:v>
      </x:c>
      <x:c r="G61" s="26" t="str">
        <x:v>WEB</x:v>
      </x:c>
      <x:c r="H61" s="26" t="n">
        <x:v>1</x:v>
      </x:c>
      <x:c r="I61" s="36" t="n">
        <x:v>46248</x:v>
      </x:c>
      <x:c r="J61" s="26" t="str">
        <x:v>NOT_FOUND</x:v>
      </x:c>
      <x:c r="K61" s="26" t="str">
        <x:v>SCALE_BATCH_01 stop condition; NOT_APPLICABLE. Missing non-material fields remain explicit.</x:v>
      </x:c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 t="str">
        <x:v>QUE-000061</x:v>
      </x:c>
      <x:c r="B62" s="26" t="str">
        <x:v>CFG-000010</x:v>
      </x:c>
      <x:c r="C62" s="26" t="str">
        <x:v>equipment</x:v>
      </x:c>
      <x:c r="D62" s="26" t="str">
        <x:v>P0</x:v>
      </x:c>
      <x:c r="E62" s="26" t="str">
        <x:v>COMPLETE</x:v>
      </x:c>
      <x:c r="F62" s="26" t="str">
        <x:v>A1_OFFICIAL_MARKET</x:v>
      </x:c>
      <x:c r="G62" s="26" t="str">
        <x:v>WEB</x:v>
      </x:c>
      <x:c r="H62" s="26" t="n">
        <x:v>1</x:v>
      </x:c>
      <x:c r="I62" s="36" t="n">
        <x:v>46248</x:v>
      </x:c>
      <x:c r="J62" s="26" t="str">
        <x:v>FOUND</x:v>
      </x:c>
      <x:c r="K62" s="26" t="str">
        <x:v>SCALE_BATCH_01 stop condition; FOUND. Missing non-material fields remain explicit.</x:v>
      </x:c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 t="str">
        <x:v>QUE-000062</x:v>
      </x:c>
      <x:c r="B63" s="26" t="str">
        <x:v>CFG-000010</x:v>
      </x:c>
      <x:c r="C63" s="26" t="str">
        <x:v>source_provenance</x:v>
      </x:c>
      <x:c r="D63" s="26" t="str">
        <x:v>P0</x:v>
      </x:c>
      <x:c r="E63" s="26" t="str">
        <x:v>COMPLETE</x:v>
      </x:c>
      <x:c r="F63" s="26" t="str">
        <x:v>A1_OFFICIAL_MARKET</x:v>
      </x:c>
      <x:c r="G63" s="26" t="str">
        <x:v>WEB</x:v>
      </x:c>
      <x:c r="H63" s="26" t="n">
        <x:v>1</x:v>
      </x:c>
      <x:c r="I63" s="36" t="n">
        <x:v>46248</x:v>
      </x:c>
      <x:c r="J63" s="26" t="str">
        <x:v>FOUND</x:v>
      </x:c>
      <x:c r="K63" s="26" t="str">
        <x:v>SCALE_BATCH_01 stop condition; FOUND. Missing non-material fields remain explicit.</x:v>
      </x:c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 t="str">
        <x:v>QUE-000063</x:v>
      </x:c>
      <x:c r="B64" s="26" t="str">
        <x:v>CFG-000011</x:v>
      </x:c>
      <x:c r="C64" s="26" t="str">
        <x:v>identity</x:v>
      </x:c>
      <x:c r="D64" s="26" t="str">
        <x:v>P0</x:v>
      </x:c>
      <x:c r="E64" s="26" t="str">
        <x:v>COMPLETE</x:v>
      </x:c>
      <x:c r="F64" s="26" t="str">
        <x:v>A1_OFFICIAL_MARKET</x:v>
      </x:c>
      <x:c r="G64" s="26" t="str">
        <x:v>WEB</x:v>
      </x:c>
      <x:c r="H64" s="26" t="n">
        <x:v>1</x:v>
      </x:c>
      <x:c r="I64" s="36" t="n">
        <x:v>46248</x:v>
      </x:c>
      <x:c r="J64" s="26" t="str">
        <x:v>FOUND</x:v>
      </x:c>
      <x:c r="K64" s="26" t="str">
        <x:v>SCALE_BATCH_01 stop condition; FOUND. Missing non-material fields remain explicit.</x:v>
      </x:c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 t="str">
        <x:v>QUE-000064</x:v>
      </x:c>
      <x:c r="B65" s="26" t="str">
        <x:v>CFG-000011</x:v>
      </x:c>
      <x:c r="C65" s="26" t="str">
        <x:v>technical</x:v>
      </x:c>
      <x:c r="D65" s="26" t="str">
        <x:v>P0</x:v>
      </x:c>
      <x:c r="E65" s="26" t="str">
        <x:v>COMPLETE</x:v>
      </x:c>
      <x:c r="F65" s="26" t="str">
        <x:v>A1_OFFICIAL_MARKET</x:v>
      </x:c>
      <x:c r="G65" s="26" t="str">
        <x:v>WEB</x:v>
      </x:c>
      <x:c r="H65" s="26" t="n">
        <x:v>1</x:v>
      </x:c>
      <x:c r="I65" s="36" t="n">
        <x:v>46248</x:v>
      </x:c>
      <x:c r="J65" s="26" t="str">
        <x:v>FOUND</x:v>
      </x:c>
      <x:c r="K65" s="26" t="str">
        <x:v>SCALE_BATCH_01 stop condition; FOUND. Missing non-material fields remain explicit.</x:v>
      </x:c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 t="str">
        <x:v>QUE-000065</x:v>
      </x:c>
      <x:c r="B66" s="26" t="str">
        <x:v>CFG-000011</x:v>
      </x:c>
      <x:c r="C66" s="26" t="str">
        <x:v>efficiency_or_range</x:v>
      </x:c>
      <x:c r="D66" s="26" t="str">
        <x:v>P0</x:v>
      </x:c>
      <x:c r="E66" s="26" t="str">
        <x:v>COMPLETE</x:v>
      </x:c>
      <x:c r="F66" s="26" t="str">
        <x:v>A1_OFFICIAL_MARKET</x:v>
      </x:c>
      <x:c r="G66" s="26" t="str">
        <x:v>WEB</x:v>
      </x:c>
      <x:c r="H66" s="26" t="n">
        <x:v>1</x:v>
      </x:c>
      <x:c r="I66" s="36" t="n">
        <x:v>46248</x:v>
      </x:c>
      <x:c r="J66" s="26" t="str">
        <x:v>FOUND</x:v>
      </x:c>
      <x:c r="K66" s="26" t="str">
        <x:v>SCALE_BATCH_01 stop condition; FOUND. Missing non-material fields remain explicit.</x:v>
      </x:c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 t="str">
        <x:v>QUE-000066</x:v>
      </x:c>
      <x:c r="B67" s="26" t="str">
        <x:v>CFG-000011</x:v>
      </x:c>
      <x:c r="C67" s="26" t="str">
        <x:v>family_practicality</x:v>
      </x:c>
      <x:c r="D67" s="26" t="str">
        <x:v>P0</x:v>
      </x:c>
      <x:c r="E67" s="26" t="str">
        <x:v>COMPLETE</x:v>
      </x:c>
      <x:c r="F67" s="26" t="str">
        <x:v>A1_OFFICIAL_MARKET</x:v>
      </x:c>
      <x:c r="G67" s="26" t="str">
        <x:v>WEB</x:v>
      </x:c>
      <x:c r="H67" s="26" t="n">
        <x:v>1</x:v>
      </x:c>
      <x:c r="I67" s="36" t="n">
        <x:v>46248</x:v>
      </x:c>
      <x:c r="J67" s="26" t="str">
        <x:v>FOUND</x:v>
      </x:c>
      <x:c r="K67" s="26" t="str">
        <x:v>SCALE_BATCH_01 stop condition; FOUND. Missing non-material fields remain explicit.</x:v>
      </x:c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 t="str">
        <x:v>QUE-000067</x:v>
      </x:c>
      <x:c r="B68" s="26" t="str">
        <x:v>CFG-000011</x:v>
      </x:c>
      <x:c r="C68" s="26" t="str">
        <x:v>rough_road</x:v>
      </x:c>
      <x:c r="D68" s="26" t="str">
        <x:v>P0</x:v>
      </x:c>
      <x:c r="E68" s="26" t="str">
        <x:v>COMPLETE</x:v>
      </x:c>
      <x:c r="F68" s="26" t="str">
        <x:v>A1_OFFICIAL_MARKET</x:v>
      </x:c>
      <x:c r="G68" s="26" t="str">
        <x:v>WEB</x:v>
      </x:c>
      <x:c r="H68" s="26" t="n">
        <x:v>1</x:v>
      </x:c>
      <x:c r="I68" s="36" t="n">
        <x:v>46248</x:v>
      </x:c>
      <x:c r="J68" s="26" t="str">
        <x:v>NOT_FOUND</x:v>
      </x:c>
      <x:c r="K68" s="26" t="str">
        <x:v>SCALE_BATCH_01 stop condition; NOT_APPLICABLE. Missing non-material fields remain explicit.</x:v>
      </x:c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 t="str">
        <x:v>QUE-000068</x:v>
      </x:c>
      <x:c r="B69" s="26" t="str">
        <x:v>CFG-000011</x:v>
      </x:c>
      <x:c r="C69" s="26" t="str">
        <x:v>equipment</x:v>
      </x:c>
      <x:c r="D69" s="26" t="str">
        <x:v>P0</x:v>
      </x:c>
      <x:c r="E69" s="26" t="str">
        <x:v>COMPLETE</x:v>
      </x:c>
      <x:c r="F69" s="26" t="str">
        <x:v>A1_OFFICIAL_MARKET</x:v>
      </x:c>
      <x:c r="G69" s="26" t="str">
        <x:v>WEB</x:v>
      </x:c>
      <x:c r="H69" s="26" t="n">
        <x:v>1</x:v>
      </x:c>
      <x:c r="I69" s="36" t="n">
        <x:v>46248</x:v>
      </x:c>
      <x:c r="J69" s="26" t="str">
        <x:v>FOUND</x:v>
      </x:c>
      <x:c r="K69" s="26" t="str">
        <x:v>SCALE_BATCH_01 stop condition; FOUND. Missing non-material fields remain explicit.</x:v>
      </x:c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 t="str">
        <x:v>QUE-000069</x:v>
      </x:c>
      <x:c r="B70" s="26" t="str">
        <x:v>CFG-000011</x:v>
      </x:c>
      <x:c r="C70" s="26" t="str">
        <x:v>source_provenance</x:v>
      </x:c>
      <x:c r="D70" s="26" t="str">
        <x:v>P0</x:v>
      </x:c>
      <x:c r="E70" s="26" t="str">
        <x:v>COMPLETE</x:v>
      </x:c>
      <x:c r="F70" s="26" t="str">
        <x:v>A1_OFFICIAL_MARKET</x:v>
      </x:c>
      <x:c r="G70" s="26" t="str">
        <x:v>WEB</x:v>
      </x:c>
      <x:c r="H70" s="26" t="n">
        <x:v>1</x:v>
      </x:c>
      <x:c r="I70" s="36" t="n">
        <x:v>46248</x:v>
      </x:c>
      <x:c r="J70" s="26" t="str">
        <x:v>FOUND</x:v>
      </x:c>
      <x:c r="K70" s="26" t="str">
        <x:v>SCALE_BATCH_01 stop condition; FOUND. Missing non-material fields remain explicit.</x:v>
      </x:c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 t="str">
        <x:v>QUE-000070</x:v>
      </x:c>
      <x:c r="B71" s="26" t="str">
        <x:v>CFG-000012</x:v>
      </x:c>
      <x:c r="C71" s="26" t="str">
        <x:v>identity</x:v>
      </x:c>
      <x:c r="D71" s="26" t="str">
        <x:v>P0</x:v>
      </x:c>
      <x:c r="E71" s="26" t="str">
        <x:v>COMPLETE</x:v>
      </x:c>
      <x:c r="F71" s="26" t="str">
        <x:v>A1_OFFICIAL_MARKET</x:v>
      </x:c>
      <x:c r="G71" s="26" t="str">
        <x:v>WEB</x:v>
      </x:c>
      <x:c r="H71" s="26" t="n">
        <x:v>1</x:v>
      </x:c>
      <x:c r="I71" s="36" t="n">
        <x:v>46248</x:v>
      </x:c>
      <x:c r="J71" s="26" t="str">
        <x:v>FOUND</x:v>
      </x:c>
      <x:c r="K71" s="26" t="str">
        <x:v>SCALE_BATCH_01 stop condition; FOUND. Missing non-material fields remain explicit.</x:v>
      </x:c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 t="str">
        <x:v>QUE-000071</x:v>
      </x:c>
      <x:c r="B72" s="26" t="str">
        <x:v>CFG-000012</x:v>
      </x:c>
      <x:c r="C72" s="26" t="str">
        <x:v>technical</x:v>
      </x:c>
      <x:c r="D72" s="26" t="str">
        <x:v>P0</x:v>
      </x:c>
      <x:c r="E72" s="26" t="str">
        <x:v>COMPLETE</x:v>
      </x:c>
      <x:c r="F72" s="26" t="str">
        <x:v>A1_OFFICIAL_MARKET</x:v>
      </x:c>
      <x:c r="G72" s="26" t="str">
        <x:v>WEB</x:v>
      </x:c>
      <x:c r="H72" s="26" t="n">
        <x:v>1</x:v>
      </x:c>
      <x:c r="I72" s="36" t="n">
        <x:v>46248</x:v>
      </x:c>
      <x:c r="J72" s="26" t="str">
        <x:v>FOUND</x:v>
      </x:c>
      <x:c r="K72" s="26" t="str">
        <x:v>SCALE_BATCH_01 stop condition; FOUND. Missing non-material fields remain explicit.</x:v>
      </x:c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 t="str">
        <x:v>QUE-000072</x:v>
      </x:c>
      <x:c r="B73" s="26" t="str">
        <x:v>CFG-000012</x:v>
      </x:c>
      <x:c r="C73" s="26" t="str">
        <x:v>efficiency_or_range</x:v>
      </x:c>
      <x:c r="D73" s="26" t="str">
        <x:v>P0</x:v>
      </x:c>
      <x:c r="E73" s="26" t="str">
        <x:v>COMPLETE</x:v>
      </x:c>
      <x:c r="F73" s="26" t="str">
        <x:v>A1_OFFICIAL_MARKET</x:v>
      </x:c>
      <x:c r="G73" s="26" t="str">
        <x:v>WEB</x:v>
      </x:c>
      <x:c r="H73" s="26" t="n">
        <x:v>1</x:v>
      </x:c>
      <x:c r="I73" s="36" t="n">
        <x:v>46248</x:v>
      </x:c>
      <x:c r="J73" s="26" t="str">
        <x:v>FOUND</x:v>
      </x:c>
      <x:c r="K73" s="26" t="str">
        <x:v>SCALE_BATCH_01 stop condition; FOUND. Missing non-material fields remain explicit.</x:v>
      </x:c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 t="str">
        <x:v>QUE-000073</x:v>
      </x:c>
      <x:c r="B74" s="26" t="str">
        <x:v>CFG-000012</x:v>
      </x:c>
      <x:c r="C74" s="26" t="str">
        <x:v>family_practicality</x:v>
      </x:c>
      <x:c r="D74" s="26" t="str">
        <x:v>P0</x:v>
      </x:c>
      <x:c r="E74" s="26" t="str">
        <x:v>COMPLETE</x:v>
      </x:c>
      <x:c r="F74" s="26" t="str">
        <x:v>A1_OFFICIAL_MARKET</x:v>
      </x:c>
      <x:c r="G74" s="26" t="str">
        <x:v>WEB</x:v>
      </x:c>
      <x:c r="H74" s="26" t="n">
        <x:v>1</x:v>
      </x:c>
      <x:c r="I74" s="36" t="n">
        <x:v>46248</x:v>
      </x:c>
      <x:c r="J74" s="26" t="str">
        <x:v>FOUND</x:v>
      </x:c>
      <x:c r="K74" s="26" t="str">
        <x:v>SCALE_BATCH_01 stop condition; FOUND. Missing non-material fields remain explicit.</x:v>
      </x:c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 t="str">
        <x:v>QUE-000074</x:v>
      </x:c>
      <x:c r="B75" s="26" t="str">
        <x:v>CFG-000012</x:v>
      </x:c>
      <x:c r="C75" s="26" t="str">
        <x:v>rough_road</x:v>
      </x:c>
      <x:c r="D75" s="26" t="str">
        <x:v>P0</x:v>
      </x:c>
      <x:c r="E75" s="26" t="str">
        <x:v>COMPLETE</x:v>
      </x:c>
      <x:c r="F75" s="26" t="str">
        <x:v>A1_OFFICIAL_MARKET</x:v>
      </x:c>
      <x:c r="G75" s="26" t="str">
        <x:v>WEB</x:v>
      </x:c>
      <x:c r="H75" s="26" t="n">
        <x:v>1</x:v>
      </x:c>
      <x:c r="I75" s="36" t="n">
        <x:v>46248</x:v>
      </x:c>
      <x:c r="J75" s="26" t="str">
        <x:v>NOT_FOUND</x:v>
      </x:c>
      <x:c r="K75" s="26" t="str">
        <x:v>SCALE_BATCH_01 stop condition; NOT_APPLICABLE. Missing non-material fields remain explicit.</x:v>
      </x:c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 t="str">
        <x:v>QUE-000075</x:v>
      </x:c>
      <x:c r="B76" s="26" t="str">
        <x:v>CFG-000012</x:v>
      </x:c>
      <x:c r="C76" s="26" t="str">
        <x:v>equipment</x:v>
      </x:c>
      <x:c r="D76" s="26" t="str">
        <x:v>P0</x:v>
      </x:c>
      <x:c r="E76" s="26" t="str">
        <x:v>COMPLETE</x:v>
      </x:c>
      <x:c r="F76" s="26" t="str">
        <x:v>A1_OFFICIAL_MARKET</x:v>
      </x:c>
      <x:c r="G76" s="26" t="str">
        <x:v>WEB</x:v>
      </x:c>
      <x:c r="H76" s="26" t="n">
        <x:v>1</x:v>
      </x:c>
      <x:c r="I76" s="36" t="n">
        <x:v>46248</x:v>
      </x:c>
      <x:c r="J76" s="26" t="str">
        <x:v>FOUND</x:v>
      </x:c>
      <x:c r="K76" s="26" t="str">
        <x:v>SCALE_BATCH_01 stop condition; FOUND. Missing non-material fields remain explicit.</x:v>
      </x:c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 t="str">
        <x:v>QUE-000076</x:v>
      </x:c>
      <x:c r="B77" s="26" t="str">
        <x:v>CFG-000012</x:v>
      </x:c>
      <x:c r="C77" s="26" t="str">
        <x:v>source_provenance</x:v>
      </x:c>
      <x:c r="D77" s="26" t="str">
        <x:v>P0</x:v>
      </x:c>
      <x:c r="E77" s="26" t="str">
        <x:v>COMPLETE</x:v>
      </x:c>
      <x:c r="F77" s="26" t="str">
        <x:v>A1_OFFICIAL_MARKET</x:v>
      </x:c>
      <x:c r="G77" s="26" t="str">
        <x:v>WEB</x:v>
      </x:c>
      <x:c r="H77" s="26" t="n">
        <x:v>1</x:v>
      </x:c>
      <x:c r="I77" s="36" t="n">
        <x:v>46248</x:v>
      </x:c>
      <x:c r="J77" s="26" t="str">
        <x:v>FOUND</x:v>
      </x:c>
      <x:c r="K77" s="26" t="str">
        <x:v>SCALE_BATCH_01 stop condition; FOUND. Missing non-material fields remain explicit.</x:v>
      </x:c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 t="str">
        <x:v>QUE-000077</x:v>
      </x:c>
      <x:c r="B78" s="26" t="str">
        <x:v>CFG-000013</x:v>
      </x:c>
      <x:c r="C78" s="26" t="str">
        <x:v>identity</x:v>
      </x:c>
      <x:c r="D78" s="26" t="str">
        <x:v>P0</x:v>
      </x:c>
      <x:c r="E78" s="26" t="str">
        <x:v>COMPLETE</x:v>
      </x:c>
      <x:c r="F78" s="26" t="str">
        <x:v>A1_OFFICIAL_MARKET</x:v>
      </x:c>
      <x:c r="G78" s="26" t="str">
        <x:v>WEB</x:v>
      </x:c>
      <x:c r="H78" s="26" t="n">
        <x:v>1</x:v>
      </x:c>
      <x:c r="I78" s="36" t="n">
        <x:v>46248</x:v>
      </x:c>
      <x:c r="J78" s="26" t="str">
        <x:v>FOUND</x:v>
      </x:c>
      <x:c r="K78" s="26" t="str">
        <x:v>SCALE_BATCH_01 stop condition; FOUND. Missing non-material fields remain explicit.</x:v>
      </x:c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 t="str">
        <x:v>QUE-000078</x:v>
      </x:c>
      <x:c r="B79" s="26" t="str">
        <x:v>CFG-000013</x:v>
      </x:c>
      <x:c r="C79" s="26" t="str">
        <x:v>technical</x:v>
      </x:c>
      <x:c r="D79" s="26" t="str">
        <x:v>P0</x:v>
      </x:c>
      <x:c r="E79" s="26" t="str">
        <x:v>COMPLETE</x:v>
      </x:c>
      <x:c r="F79" s="26" t="str">
        <x:v>A1_OFFICIAL_MARKET</x:v>
      </x:c>
      <x:c r="G79" s="26" t="str">
        <x:v>WEB</x:v>
      </x:c>
      <x:c r="H79" s="26" t="n">
        <x:v>1</x:v>
      </x:c>
      <x:c r="I79" s="36" t="n">
        <x:v>46248</x:v>
      </x:c>
      <x:c r="J79" s="26" t="str">
        <x:v>FOUND</x:v>
      </x:c>
      <x:c r="K79" s="26" t="str">
        <x:v>SCALE_BATCH_01 stop condition; FOUND. Missing non-material fields remain explicit.</x:v>
      </x:c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 t="str">
        <x:v>QUE-000079</x:v>
      </x:c>
      <x:c r="B80" s="26" t="str">
        <x:v>CFG-000013</x:v>
      </x:c>
      <x:c r="C80" s="26" t="str">
        <x:v>efficiency_or_range</x:v>
      </x:c>
      <x:c r="D80" s="26" t="str">
        <x:v>P0</x:v>
      </x:c>
      <x:c r="E80" s="26" t="str">
        <x:v>COMPLETE</x:v>
      </x:c>
      <x:c r="F80" s="26" t="str">
        <x:v>A1_OFFICIAL_MARKET</x:v>
      </x:c>
      <x:c r="G80" s="26" t="str">
        <x:v>WEB</x:v>
      </x:c>
      <x:c r="H80" s="26" t="n">
        <x:v>1</x:v>
      </x:c>
      <x:c r="I80" s="36" t="n">
        <x:v>46248</x:v>
      </x:c>
      <x:c r="J80" s="26" t="str">
        <x:v>FOUND</x:v>
      </x:c>
      <x:c r="K80" s="26" t="str">
        <x:v>SCALE_BATCH_01 stop condition; FOUND. Missing non-material fields remain explicit.</x:v>
      </x:c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 t="str">
        <x:v>QUE-000080</x:v>
      </x:c>
      <x:c r="B81" s="26" t="str">
        <x:v>CFG-000013</x:v>
      </x:c>
      <x:c r="C81" s="26" t="str">
        <x:v>family_practicality</x:v>
      </x:c>
      <x:c r="D81" s="26" t="str">
        <x:v>P0</x:v>
      </x:c>
      <x:c r="E81" s="26" t="str">
        <x:v>COMPLETE</x:v>
      </x:c>
      <x:c r="F81" s="26" t="str">
        <x:v>A1_OFFICIAL_MARKET</x:v>
      </x:c>
      <x:c r="G81" s="26" t="str">
        <x:v>WEB</x:v>
      </x:c>
      <x:c r="H81" s="26" t="n">
        <x:v>1</x:v>
      </x:c>
      <x:c r="I81" s="36" t="n">
        <x:v>46248</x:v>
      </x:c>
      <x:c r="J81" s="26" t="str">
        <x:v>FOUND</x:v>
      </x:c>
      <x:c r="K81" s="26" t="str">
        <x:v>SCALE_BATCH_01 stop condition; FOUND. Missing non-material fields remain explicit.</x:v>
      </x:c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 t="str">
        <x:v>QUE-000081</x:v>
      </x:c>
      <x:c r="B82" s="26" t="str">
        <x:v>CFG-000013</x:v>
      </x:c>
      <x:c r="C82" s="26" t="str">
        <x:v>rough_road</x:v>
      </x:c>
      <x:c r="D82" s="26" t="str">
        <x:v>P0</x:v>
      </x:c>
      <x:c r="E82" s="26" t="str">
        <x:v>COMPLETE</x:v>
      </x:c>
      <x:c r="F82" s="26" t="str">
        <x:v>A1_OFFICIAL_MARKET</x:v>
      </x:c>
      <x:c r="G82" s="26" t="str">
        <x:v>WEB</x:v>
      </x:c>
      <x:c r="H82" s="26" t="n">
        <x:v>1</x:v>
      </x:c>
      <x:c r="I82" s="36" t="n">
        <x:v>46248</x:v>
      </x:c>
      <x:c r="J82" s="26" t="str">
        <x:v>NOT_FOUND</x:v>
      </x:c>
      <x:c r="K82" s="26" t="str">
        <x:v>SCALE_BATCH_01 stop condition; NOT_APPLICABLE. Missing non-material fields remain explicit.</x:v>
      </x:c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 t="str">
        <x:v>QUE-000082</x:v>
      </x:c>
      <x:c r="B83" s="26" t="str">
        <x:v>CFG-000013</x:v>
      </x:c>
      <x:c r="C83" s="26" t="str">
        <x:v>equipment</x:v>
      </x:c>
      <x:c r="D83" s="26" t="str">
        <x:v>P0</x:v>
      </x:c>
      <x:c r="E83" s="26" t="str">
        <x:v>COMPLETE</x:v>
      </x:c>
      <x:c r="F83" s="26" t="str">
        <x:v>A1_OFFICIAL_MARKET</x:v>
      </x:c>
      <x:c r="G83" s="26" t="str">
        <x:v>WEB</x:v>
      </x:c>
      <x:c r="H83" s="26" t="n">
        <x:v>1</x:v>
      </x:c>
      <x:c r="I83" s="36" t="n">
        <x:v>46248</x:v>
      </x:c>
      <x:c r="J83" s="26" t="str">
        <x:v>FOUND</x:v>
      </x:c>
      <x:c r="K83" s="26" t="str">
        <x:v>SCALE_BATCH_01 stop condition; FOUND. Missing non-material fields remain explicit.</x:v>
      </x:c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 t="str">
        <x:v>QUE-000083</x:v>
      </x:c>
      <x:c r="B84" s="26" t="str">
        <x:v>CFG-000013</x:v>
      </x:c>
      <x:c r="C84" s="26" t="str">
        <x:v>source_provenance</x:v>
      </x:c>
      <x:c r="D84" s="26" t="str">
        <x:v>P0</x:v>
      </x:c>
      <x:c r="E84" s="26" t="str">
        <x:v>COMPLETE</x:v>
      </x:c>
      <x:c r="F84" s="26" t="str">
        <x:v>A1_OFFICIAL_MARKET</x:v>
      </x:c>
      <x:c r="G84" s="26" t="str">
        <x:v>WEB</x:v>
      </x:c>
      <x:c r="H84" s="26" t="n">
        <x:v>1</x:v>
      </x:c>
      <x:c r="I84" s="36" t="n">
        <x:v>46248</x:v>
      </x:c>
      <x:c r="J84" s="26" t="str">
        <x:v>FOUND</x:v>
      </x:c>
      <x:c r="K84" s="26" t="str">
        <x:v>SCALE_BATCH_01 stop condition; FOUND. Missing non-material fields remain explicit.</x:v>
      </x:c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 t="str">
        <x:v>QUE-000084</x:v>
      </x:c>
      <x:c r="B85" s="26" t="str">
        <x:v>CFG-000014</x:v>
      </x:c>
      <x:c r="C85" s="26" t="str">
        <x:v>identity</x:v>
      </x:c>
      <x:c r="D85" s="26" t="str">
        <x:v>P0</x:v>
      </x:c>
      <x:c r="E85" s="26" t="str">
        <x:v>COMPLETE</x:v>
      </x:c>
      <x:c r="F85" s="26" t="str">
        <x:v>A1_OFFICIAL_MARKET</x:v>
      </x:c>
      <x:c r="G85" s="26" t="str">
        <x:v>WEB</x:v>
      </x:c>
      <x:c r="H85" s="26" t="n">
        <x:v>1</x:v>
      </x:c>
      <x:c r="I85" s="36" t="n">
        <x:v>46248</x:v>
      </x:c>
      <x:c r="J85" s="26" t="str">
        <x:v>FOUND</x:v>
      </x:c>
      <x:c r="K85" s="26" t="str">
        <x:v>SCALE_BATCH_01 stop condition; FOUND. Missing non-material fields remain explicit.</x:v>
      </x:c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 t="str">
        <x:v>QUE-000085</x:v>
      </x:c>
      <x:c r="B86" s="26" t="str">
        <x:v>CFG-000014</x:v>
      </x:c>
      <x:c r="C86" s="26" t="str">
        <x:v>technical</x:v>
      </x:c>
      <x:c r="D86" s="26" t="str">
        <x:v>P0</x:v>
      </x:c>
      <x:c r="E86" s="26" t="str">
        <x:v>COMPLETE</x:v>
      </x:c>
      <x:c r="F86" s="26" t="str">
        <x:v>A1_OFFICIAL_MARKET</x:v>
      </x:c>
      <x:c r="G86" s="26" t="str">
        <x:v>WEB</x:v>
      </x:c>
      <x:c r="H86" s="26" t="n">
        <x:v>1</x:v>
      </x:c>
      <x:c r="I86" s="36" t="n">
        <x:v>46248</x:v>
      </x:c>
      <x:c r="J86" s="26" t="str">
        <x:v>FOUND</x:v>
      </x:c>
      <x:c r="K86" s="26" t="str">
        <x:v>SCALE_BATCH_01 stop condition; FOUND. Missing non-material fields remain explicit.</x:v>
      </x:c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 t="str">
        <x:v>QUE-000086</x:v>
      </x:c>
      <x:c r="B87" s="26" t="str">
        <x:v>CFG-000014</x:v>
      </x:c>
      <x:c r="C87" s="26" t="str">
        <x:v>efficiency_or_range</x:v>
      </x:c>
      <x:c r="D87" s="26" t="str">
        <x:v>P0</x:v>
      </x:c>
      <x:c r="E87" s="26" t="str">
        <x:v>COMPLETE</x:v>
      </x:c>
      <x:c r="F87" s="26" t="str">
        <x:v>A1_OFFICIAL_MARKET</x:v>
      </x:c>
      <x:c r="G87" s="26" t="str">
        <x:v>WEB</x:v>
      </x:c>
      <x:c r="H87" s="26" t="n">
        <x:v>1</x:v>
      </x:c>
      <x:c r="I87" s="36" t="n">
        <x:v>46248</x:v>
      </x:c>
      <x:c r="J87" s="26" t="str">
        <x:v>FOUND</x:v>
      </x:c>
      <x:c r="K87" s="26" t="str">
        <x:v>SCALE_BATCH_01 stop condition; FOUND. Missing non-material fields remain explicit.</x:v>
      </x:c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 t="str">
        <x:v>QUE-000087</x:v>
      </x:c>
      <x:c r="B88" s="26" t="str">
        <x:v>CFG-000014</x:v>
      </x:c>
      <x:c r="C88" s="26" t="str">
        <x:v>family_practicality</x:v>
      </x:c>
      <x:c r="D88" s="26" t="str">
        <x:v>P0</x:v>
      </x:c>
      <x:c r="E88" s="26" t="str">
        <x:v>COMPLETE</x:v>
      </x:c>
      <x:c r="F88" s="26" t="str">
        <x:v>A1_OFFICIAL_MARKET</x:v>
      </x:c>
      <x:c r="G88" s="26" t="str">
        <x:v>WEB</x:v>
      </x:c>
      <x:c r="H88" s="26" t="n">
        <x:v>1</x:v>
      </x:c>
      <x:c r="I88" s="36" t="n">
        <x:v>46248</x:v>
      </x:c>
      <x:c r="J88" s="26" t="str">
        <x:v>FOUND</x:v>
      </x:c>
      <x:c r="K88" s="26" t="str">
        <x:v>SCALE_BATCH_01 stop condition; FOUND. Missing non-material fields remain explicit.</x:v>
      </x:c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 t="str">
        <x:v>QUE-000088</x:v>
      </x:c>
      <x:c r="B89" s="26" t="str">
        <x:v>CFG-000014</x:v>
      </x:c>
      <x:c r="C89" s="26" t="str">
        <x:v>rough_road</x:v>
      </x:c>
      <x:c r="D89" s="26" t="str">
        <x:v>P0</x:v>
      </x:c>
      <x:c r="E89" s="26" t="str">
        <x:v>COMPLETE</x:v>
      </x:c>
      <x:c r="F89" s="26" t="str">
        <x:v>A1_OFFICIAL_MARKET</x:v>
      </x:c>
      <x:c r="G89" s="26" t="str">
        <x:v>WEB</x:v>
      </x:c>
      <x:c r="H89" s="26" t="n">
        <x:v>1</x:v>
      </x:c>
      <x:c r="I89" s="36" t="n">
        <x:v>46248</x:v>
      </x:c>
      <x:c r="J89" s="26" t="str">
        <x:v>NOT_FOUND</x:v>
      </x:c>
      <x:c r="K89" s="26" t="str">
        <x:v>SCALE_BATCH_01 stop condition; NOT_APPLICABLE. Missing non-material fields remain explicit.</x:v>
      </x:c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 t="str">
        <x:v>QUE-000089</x:v>
      </x:c>
      <x:c r="B90" s="26" t="str">
        <x:v>CFG-000014</x:v>
      </x:c>
      <x:c r="C90" s="26" t="str">
        <x:v>equipment</x:v>
      </x:c>
      <x:c r="D90" s="26" t="str">
        <x:v>P0</x:v>
      </x:c>
      <x:c r="E90" s="26" t="str">
        <x:v>COMPLETE</x:v>
      </x:c>
      <x:c r="F90" s="26" t="str">
        <x:v>A1_OFFICIAL_MARKET</x:v>
      </x:c>
      <x:c r="G90" s="26" t="str">
        <x:v>WEB</x:v>
      </x:c>
      <x:c r="H90" s="26" t="n">
        <x:v>1</x:v>
      </x:c>
      <x:c r="I90" s="36" t="n">
        <x:v>46248</x:v>
      </x:c>
      <x:c r="J90" s="26" t="str">
        <x:v>FOUND</x:v>
      </x:c>
      <x:c r="K90" s="26" t="str">
        <x:v>SCALE_BATCH_01 stop condition; FOUND. Missing non-material fields remain explicit.</x:v>
      </x:c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 t="str">
        <x:v>QUE-000090</x:v>
      </x:c>
      <x:c r="B91" s="26" t="str">
        <x:v>CFG-000014</x:v>
      </x:c>
      <x:c r="C91" s="26" t="str">
        <x:v>source_provenance</x:v>
      </x:c>
      <x:c r="D91" s="26" t="str">
        <x:v>P0</x:v>
      </x:c>
      <x:c r="E91" s="26" t="str">
        <x:v>COMPLETE</x:v>
      </x:c>
      <x:c r="F91" s="26" t="str">
        <x:v>A1_OFFICIAL_MARKET</x:v>
      </x:c>
      <x:c r="G91" s="26" t="str">
        <x:v>WEB</x:v>
      </x:c>
      <x:c r="H91" s="26" t="n">
        <x:v>1</x:v>
      </x:c>
      <x:c r="I91" s="36" t="n">
        <x:v>46248</x:v>
      </x:c>
      <x:c r="J91" s="26" t="str">
        <x:v>FOUND</x:v>
      </x:c>
      <x:c r="K91" s="26" t="str">
        <x:v>SCALE_BATCH_01 stop condition; FOUND. Missing non-material fields remain explicit.</x:v>
      </x:c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 t="str">
        <x:v>QUE-000091</x:v>
      </x:c>
      <x:c r="B92" s="26" t="str">
        <x:v>CFG-000015</x:v>
      </x:c>
      <x:c r="C92" s="26" t="str">
        <x:v>identity</x:v>
      </x:c>
      <x:c r="D92" s="26" t="str">
        <x:v>P0</x:v>
      </x:c>
      <x:c r="E92" s="26" t="str">
        <x:v>COMPLETE</x:v>
      </x:c>
      <x:c r="F92" s="26" t="str">
        <x:v>A1_OFFICIAL_MARKET</x:v>
      </x:c>
      <x:c r="G92" s="26" t="str">
        <x:v>WEB</x:v>
      </x:c>
      <x:c r="H92" s="26" t="n">
        <x:v>1</x:v>
      </x:c>
      <x:c r="I92" s="36" t="n">
        <x:v>46248</x:v>
      </x:c>
      <x:c r="J92" s="26" t="str">
        <x:v>FOUND</x:v>
      </x:c>
      <x:c r="K92" s="26" t="str">
        <x:v>SCALE_BATCH_01 stop condition; FOUND. Missing non-material fields remain explicit.</x:v>
      </x:c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 t="str">
        <x:v>QUE-000092</x:v>
      </x:c>
      <x:c r="B93" s="26" t="str">
        <x:v>CFG-000015</x:v>
      </x:c>
      <x:c r="C93" s="26" t="str">
        <x:v>technical</x:v>
      </x:c>
      <x:c r="D93" s="26" t="str">
        <x:v>P0</x:v>
      </x:c>
      <x:c r="E93" s="26" t="str">
        <x:v>COMPLETE</x:v>
      </x:c>
      <x:c r="F93" s="26" t="str">
        <x:v>A1_OFFICIAL_MARKET</x:v>
      </x:c>
      <x:c r="G93" s="26" t="str">
        <x:v>WEB</x:v>
      </x:c>
      <x:c r="H93" s="26" t="n">
        <x:v>1</x:v>
      </x:c>
      <x:c r="I93" s="36" t="n">
        <x:v>46248</x:v>
      </x:c>
      <x:c r="J93" s="26" t="str">
        <x:v>FOUND</x:v>
      </x:c>
      <x:c r="K93" s="26" t="str">
        <x:v>SCALE_BATCH_01 stop condition; FOUND. Missing non-material fields remain explicit.</x:v>
      </x:c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 t="str">
        <x:v>QUE-000093</x:v>
      </x:c>
      <x:c r="B94" s="26" t="str">
        <x:v>CFG-000015</x:v>
      </x:c>
      <x:c r="C94" s="26" t="str">
        <x:v>efficiency_or_range</x:v>
      </x:c>
      <x:c r="D94" s="26" t="str">
        <x:v>P0</x:v>
      </x:c>
      <x:c r="E94" s="26" t="str">
        <x:v>COMPLETE</x:v>
      </x:c>
      <x:c r="F94" s="26" t="str">
        <x:v>A1_OFFICIAL_MARKET</x:v>
      </x:c>
      <x:c r="G94" s="26" t="str">
        <x:v>WEB</x:v>
      </x:c>
      <x:c r="H94" s="26" t="n">
        <x:v>1</x:v>
      </x:c>
      <x:c r="I94" s="36" t="n">
        <x:v>46248</x:v>
      </x:c>
      <x:c r="J94" s="26" t="str">
        <x:v>FOUND</x:v>
      </x:c>
      <x:c r="K94" s="26" t="str">
        <x:v>SCALE_BATCH_01 stop condition; FOUND. Missing non-material fields remain explicit.</x:v>
      </x:c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 t="str">
        <x:v>QUE-000094</x:v>
      </x:c>
      <x:c r="B95" s="26" t="str">
        <x:v>CFG-000015</x:v>
      </x:c>
      <x:c r="C95" s="26" t="str">
        <x:v>family_practicality</x:v>
      </x:c>
      <x:c r="D95" s="26" t="str">
        <x:v>P0</x:v>
      </x:c>
      <x:c r="E95" s="26" t="str">
        <x:v>COMPLETE</x:v>
      </x:c>
      <x:c r="F95" s="26" t="str">
        <x:v>A1_OFFICIAL_MARKET</x:v>
      </x:c>
      <x:c r="G95" s="26" t="str">
        <x:v>WEB</x:v>
      </x:c>
      <x:c r="H95" s="26" t="n">
        <x:v>1</x:v>
      </x:c>
      <x:c r="I95" s="36" t="n">
        <x:v>46248</x:v>
      </x:c>
      <x:c r="J95" s="26" t="str">
        <x:v>FOUND</x:v>
      </x:c>
      <x:c r="K95" s="26" t="str">
        <x:v>SCALE_BATCH_01 stop condition; FOUND. Missing non-material fields remain explicit.</x:v>
      </x:c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 t="str">
        <x:v>QUE-000095</x:v>
      </x:c>
      <x:c r="B96" s="26" t="str">
        <x:v>CFG-000015</x:v>
      </x:c>
      <x:c r="C96" s="26" t="str">
        <x:v>rough_road</x:v>
      </x:c>
      <x:c r="D96" s="26" t="str">
        <x:v>P0</x:v>
      </x:c>
      <x:c r="E96" s="26" t="str">
        <x:v>COMPLETE</x:v>
      </x:c>
      <x:c r="F96" s="26" t="str">
        <x:v>A1_OFFICIAL_MARKET</x:v>
      </x:c>
      <x:c r="G96" s="26" t="str">
        <x:v>WEB</x:v>
      </x:c>
      <x:c r="H96" s="26" t="n">
        <x:v>1</x:v>
      </x:c>
      <x:c r="I96" s="36" t="n">
        <x:v>46248</x:v>
      </x:c>
      <x:c r="J96" s="26" t="str">
        <x:v>NOT_FOUND</x:v>
      </x:c>
      <x:c r="K96" s="26" t="str">
        <x:v>SCALE_BATCH_01 stop condition; NOT_APPLICABLE. Missing non-material fields remain explicit.</x:v>
      </x:c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 t="str">
        <x:v>QUE-000096</x:v>
      </x:c>
      <x:c r="B97" s="26" t="str">
        <x:v>CFG-000015</x:v>
      </x:c>
      <x:c r="C97" s="26" t="str">
        <x:v>equipment</x:v>
      </x:c>
      <x:c r="D97" s="26" t="str">
        <x:v>P0</x:v>
      </x:c>
      <x:c r="E97" s="26" t="str">
        <x:v>COMPLETE</x:v>
      </x:c>
      <x:c r="F97" s="26" t="str">
        <x:v>A1_OFFICIAL_MARKET</x:v>
      </x:c>
      <x:c r="G97" s="26" t="str">
        <x:v>WEB</x:v>
      </x:c>
      <x:c r="H97" s="26" t="n">
        <x:v>1</x:v>
      </x:c>
      <x:c r="I97" s="36" t="n">
        <x:v>46248</x:v>
      </x:c>
      <x:c r="J97" s="26" t="str">
        <x:v>FOUND</x:v>
      </x:c>
      <x:c r="K97" s="26" t="str">
        <x:v>SCALE_BATCH_01 stop condition; FOUND. Missing non-material fields remain explicit.</x:v>
      </x:c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 t="str">
        <x:v>QUE-000097</x:v>
      </x:c>
      <x:c r="B98" s="26" t="str">
        <x:v>CFG-000015</x:v>
      </x:c>
      <x:c r="C98" s="26" t="str">
        <x:v>source_provenance</x:v>
      </x:c>
      <x:c r="D98" s="26" t="str">
        <x:v>P0</x:v>
      </x:c>
      <x:c r="E98" s="26" t="str">
        <x:v>COMPLETE</x:v>
      </x:c>
      <x:c r="F98" s="26" t="str">
        <x:v>A1_OFFICIAL_MARKET</x:v>
      </x:c>
      <x:c r="G98" s="26" t="str">
        <x:v>WEB</x:v>
      </x:c>
      <x:c r="H98" s="26" t="n">
        <x:v>1</x:v>
      </x:c>
      <x:c r="I98" s="36" t="n">
        <x:v>46248</x:v>
      </x:c>
      <x:c r="J98" s="26" t="str">
        <x:v>FOUND</x:v>
      </x:c>
      <x:c r="K98" s="26" t="str">
        <x:v>SCALE_BATCH_01 stop condition; FOUND. Missing non-material fields remain explicit.</x:v>
      </x:c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 t="str">
        <x:v>QUE-000098</x:v>
      </x:c>
      <x:c r="B99" s="26" t="str">
        <x:v>CFG-000016</x:v>
      </x:c>
      <x:c r="C99" s="26" t="str">
        <x:v>identity</x:v>
      </x:c>
      <x:c r="D99" s="26" t="str">
        <x:v>P0</x:v>
      </x:c>
      <x:c r="E99" s="26" t="str">
        <x:v>COMPLETE</x:v>
      </x:c>
      <x:c r="F99" s="26" t="str">
        <x:v>A1_OFFICIAL_MARKET</x:v>
      </x:c>
      <x:c r="G99" s="26" t="str">
        <x:v>WEB</x:v>
      </x:c>
      <x:c r="H99" s="26" t="n">
        <x:v>1</x:v>
      </x:c>
      <x:c r="I99" s="36" t="n">
        <x:v>46248</x:v>
      </x:c>
      <x:c r="J99" s="26" t="str">
        <x:v>FOUND</x:v>
      </x:c>
      <x:c r="K99" s="26" t="str">
        <x:v>SCALE_BATCH_01 stop condition; FOUND. Missing non-material fields remain explicit.</x:v>
      </x:c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 t="str">
        <x:v>QUE-000099</x:v>
      </x:c>
      <x:c r="B100" s="26" t="str">
        <x:v>CFG-000016</x:v>
      </x:c>
      <x:c r="C100" s="26" t="str">
        <x:v>technical</x:v>
      </x:c>
      <x:c r="D100" s="26" t="str">
        <x:v>P0</x:v>
      </x:c>
      <x:c r="E100" s="26" t="str">
        <x:v>COMPLETE</x:v>
      </x:c>
      <x:c r="F100" s="26" t="str">
        <x:v>A1_OFFICIAL_MARKET</x:v>
      </x:c>
      <x:c r="G100" s="26" t="str">
        <x:v>WEB</x:v>
      </x:c>
      <x:c r="H100" s="26" t="n">
        <x:v>1</x:v>
      </x:c>
      <x:c r="I100" s="36" t="n">
        <x:v>46248</x:v>
      </x:c>
      <x:c r="J100" s="26" t="str">
        <x:v>FOUND</x:v>
      </x:c>
      <x:c r="K100" s="26" t="str">
        <x:v>SCALE_BATCH_01 stop condition; FOUND. Missing non-material fields remain explicit.</x:v>
      </x:c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 t="str">
        <x:v>QUE-000100</x:v>
      </x:c>
      <x:c r="B101" s="26" t="str">
        <x:v>CFG-000016</x:v>
      </x:c>
      <x:c r="C101" s="26" t="str">
        <x:v>efficiency_or_range</x:v>
      </x:c>
      <x:c r="D101" s="26" t="str">
        <x:v>P0</x:v>
      </x:c>
      <x:c r="E101" s="26" t="str">
        <x:v>COMPLETE</x:v>
      </x:c>
      <x:c r="F101" s="26" t="str">
        <x:v>A1_OFFICIAL_MARKET</x:v>
      </x:c>
      <x:c r="G101" s="26" t="str">
        <x:v>WEB</x:v>
      </x:c>
      <x:c r="H101" s="26" t="n">
        <x:v>1</x:v>
      </x:c>
      <x:c r="I101" s="36" t="n">
        <x:v>46248</x:v>
      </x:c>
      <x:c r="J101" s="26" t="str">
        <x:v>FOUND</x:v>
      </x:c>
      <x:c r="K101" s="26" t="str">
        <x:v>SCALE_BATCH_01 stop condition; FOUND. Missing non-material fields remain explicit.</x:v>
      </x:c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 t="str">
        <x:v>QUE-000101</x:v>
      </x:c>
      <x:c r="B102" s="26" t="str">
        <x:v>CFG-000016</x:v>
      </x:c>
      <x:c r="C102" s="26" t="str">
        <x:v>family_practicality</x:v>
      </x:c>
      <x:c r="D102" s="26" t="str">
        <x:v>P0</x:v>
      </x:c>
      <x:c r="E102" s="26" t="str">
        <x:v>COMPLETE</x:v>
      </x:c>
      <x:c r="F102" s="26" t="str">
        <x:v>A1_OFFICIAL_MARKET</x:v>
      </x:c>
      <x:c r="G102" s="26" t="str">
        <x:v>WEB</x:v>
      </x:c>
      <x:c r="H102" s="26" t="n">
        <x:v>1</x:v>
      </x:c>
      <x:c r="I102" s="36" t="n">
        <x:v>46248</x:v>
      </x:c>
      <x:c r="J102" s="26" t="str">
        <x:v>FOUND</x:v>
      </x:c>
      <x:c r="K102" s="26" t="str">
        <x:v>SCALE_BATCH_01 stop condition; FOUND. Missing non-material fields remain explicit.</x:v>
      </x:c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 t="str">
        <x:v>QUE-000102</x:v>
      </x:c>
      <x:c r="B103" s="26" t="str">
        <x:v>CFG-000016</x:v>
      </x:c>
      <x:c r="C103" s="26" t="str">
        <x:v>rough_road</x:v>
      </x:c>
      <x:c r="D103" s="26" t="str">
        <x:v>P0</x:v>
      </x:c>
      <x:c r="E103" s="26" t="str">
        <x:v>COMPLETE</x:v>
      </x:c>
      <x:c r="F103" s="26" t="str">
        <x:v>A1_OFFICIAL_MARKET</x:v>
      </x:c>
      <x:c r="G103" s="26" t="str">
        <x:v>WEB</x:v>
      </x:c>
      <x:c r="H103" s="26" t="n">
        <x:v>1</x:v>
      </x:c>
      <x:c r="I103" s="36" t="n">
        <x:v>46248</x:v>
      </x:c>
      <x:c r="J103" s="26" t="str">
        <x:v>NOT_FOUND</x:v>
      </x:c>
      <x:c r="K103" s="26" t="str">
        <x:v>SCALE_BATCH_01 stop condition; NOT_APPLICABLE. Missing non-material fields remain explicit.</x:v>
      </x:c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 t="str">
        <x:v>QUE-000103</x:v>
      </x:c>
      <x:c r="B104" s="26" t="str">
        <x:v>CFG-000016</x:v>
      </x:c>
      <x:c r="C104" s="26" t="str">
        <x:v>equipment</x:v>
      </x:c>
      <x:c r="D104" s="26" t="str">
        <x:v>P0</x:v>
      </x:c>
      <x:c r="E104" s="26" t="str">
        <x:v>COMPLETE</x:v>
      </x:c>
      <x:c r="F104" s="26" t="str">
        <x:v>A1_OFFICIAL_MARKET</x:v>
      </x:c>
      <x:c r="G104" s="26" t="str">
        <x:v>WEB</x:v>
      </x:c>
      <x:c r="H104" s="26" t="n">
        <x:v>1</x:v>
      </x:c>
      <x:c r="I104" s="36" t="n">
        <x:v>46248</x:v>
      </x:c>
      <x:c r="J104" s="26" t="str">
        <x:v>FOUND</x:v>
      </x:c>
      <x:c r="K104" s="26" t="str">
        <x:v>SCALE_BATCH_01 stop condition; FOUND. Missing non-material fields remain explicit.</x:v>
      </x:c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 t="str">
        <x:v>QUE-000104</x:v>
      </x:c>
      <x:c r="B105" s="26" t="str">
        <x:v>CFG-000016</x:v>
      </x:c>
      <x:c r="C105" s="26" t="str">
        <x:v>source_provenance</x:v>
      </x:c>
      <x:c r="D105" s="26" t="str">
        <x:v>P0</x:v>
      </x:c>
      <x:c r="E105" s="26" t="str">
        <x:v>COMPLETE</x:v>
      </x:c>
      <x:c r="F105" s="26" t="str">
        <x:v>A1_OFFICIAL_MARKET</x:v>
      </x:c>
      <x:c r="G105" s="26" t="str">
        <x:v>WEB</x:v>
      </x:c>
      <x:c r="H105" s="26" t="n">
        <x:v>1</x:v>
      </x:c>
      <x:c r="I105" s="36" t="n">
        <x:v>46248</x:v>
      </x:c>
      <x:c r="J105" s="26" t="str">
        <x:v>FOUND</x:v>
      </x:c>
      <x:c r="K105" s="26" t="str">
        <x:v>SCALE_BATCH_01 stop condition; FOUND. Missing non-material fields remain explicit.</x:v>
      </x:c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 t="str">
        <x:v>QUE-000105</x:v>
      </x:c>
      <x:c r="B106" s="26" t="str">
        <x:v>CFG-000017</x:v>
      </x:c>
      <x:c r="C106" s="26" t="str">
        <x:v>identity</x:v>
      </x:c>
      <x:c r="D106" s="26" t="str">
        <x:v>P0</x:v>
      </x:c>
      <x:c r="E106" s="26" t="str">
        <x:v>COMPLETE</x:v>
      </x:c>
      <x:c r="F106" s="26" t="str">
        <x:v>A1_OFFICIAL_MARKET</x:v>
      </x:c>
      <x:c r="G106" s="26" t="str">
        <x:v>WEB</x:v>
      </x:c>
      <x:c r="H106" s="26" t="n">
        <x:v>1</x:v>
      </x:c>
      <x:c r="I106" s="36" t="n">
        <x:v>46248</x:v>
      </x:c>
      <x:c r="J106" s="26" t="str">
        <x:v>FOUND</x:v>
      </x:c>
      <x:c r="K106" s="26" t="str">
        <x:v>SCALE_BATCH_01 stop condition; FOUND. Missing non-material fields remain explicit.</x:v>
      </x:c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 t="str">
        <x:v>QUE-000106</x:v>
      </x:c>
      <x:c r="B107" s="26" t="str">
        <x:v>CFG-000017</x:v>
      </x:c>
      <x:c r="C107" s="26" t="str">
        <x:v>technical</x:v>
      </x:c>
      <x:c r="D107" s="26" t="str">
        <x:v>P0</x:v>
      </x:c>
      <x:c r="E107" s="26" t="str">
        <x:v>COMPLETE</x:v>
      </x:c>
      <x:c r="F107" s="26" t="str">
        <x:v>A1_OFFICIAL_MARKET</x:v>
      </x:c>
      <x:c r="G107" s="26" t="str">
        <x:v>WEB</x:v>
      </x:c>
      <x:c r="H107" s="26" t="n">
        <x:v>1</x:v>
      </x:c>
      <x:c r="I107" s="36" t="n">
        <x:v>46248</x:v>
      </x:c>
      <x:c r="J107" s="26" t="str">
        <x:v>NOT_FOUND</x:v>
      </x:c>
      <x:c r="K107" s="26" t="str">
        <x:v>SCALE_BATCH_01 stop condition; NOT_FOUND. Missing non-material fields remain explicit.</x:v>
      </x:c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 t="str">
        <x:v>QUE-000107</x:v>
      </x:c>
      <x:c r="B108" s="26" t="str">
        <x:v>CFG-000017</x:v>
      </x:c>
      <x:c r="C108" s="26" t="str">
        <x:v>efficiency_or_range</x:v>
      </x:c>
      <x:c r="D108" s="26" t="str">
        <x:v>P0</x:v>
      </x:c>
      <x:c r="E108" s="26" t="str">
        <x:v>COMPLETE</x:v>
      </x:c>
      <x:c r="F108" s="26" t="str">
        <x:v>A1_OFFICIAL_MARKET</x:v>
      </x:c>
      <x:c r="G108" s="26" t="str">
        <x:v>WEB</x:v>
      </x:c>
      <x:c r="H108" s="26" t="n">
        <x:v>1</x:v>
      </x:c>
      <x:c r="I108" s="36" t="n">
        <x:v>46248</x:v>
      </x:c>
      <x:c r="J108" s="26" t="str">
        <x:v>NOT_FOUND</x:v>
      </x:c>
      <x:c r="K108" s="26" t="str">
        <x:v>SCALE_BATCH_01 stop condition; NOT_FOUND. Missing non-material fields remain explicit.</x:v>
      </x:c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 t="str">
        <x:v>QUE-000108</x:v>
      </x:c>
      <x:c r="B109" s="26" t="str">
        <x:v>CFG-000017</x:v>
      </x:c>
      <x:c r="C109" s="26" t="str">
        <x:v>family_practicality</x:v>
      </x:c>
      <x:c r="D109" s="26" t="str">
        <x:v>P0</x:v>
      </x:c>
      <x:c r="E109" s="26" t="str">
        <x:v>COMPLETE</x:v>
      </x:c>
      <x:c r="F109" s="26" t="str">
        <x:v>A1_OFFICIAL_MARKET</x:v>
      </x:c>
      <x:c r="G109" s="26" t="str">
        <x:v>WEB</x:v>
      </x:c>
      <x:c r="H109" s="26" t="n">
        <x:v>1</x:v>
      </x:c>
      <x:c r="I109" s="36" t="n">
        <x:v>46248</x:v>
      </x:c>
      <x:c r="J109" s="26" t="str">
        <x:v>NOT_FOUND</x:v>
      </x:c>
      <x:c r="K109" s="26" t="str">
        <x:v>SCALE_BATCH_01 stop condition; NOT_FOUND. Missing non-material fields remain explicit.</x:v>
      </x:c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 t="str">
        <x:v>QUE-000109</x:v>
      </x:c>
      <x:c r="B110" s="26" t="str">
        <x:v>CFG-000017</x:v>
      </x:c>
      <x:c r="C110" s="26" t="str">
        <x:v>rough_road</x:v>
      </x:c>
      <x:c r="D110" s="26" t="str">
        <x:v>P0</x:v>
      </x:c>
      <x:c r="E110" s="26" t="str">
        <x:v>COMPLETE</x:v>
      </x:c>
      <x:c r="F110" s="26" t="str">
        <x:v>A1_OFFICIAL_MARKET</x:v>
      </x:c>
      <x:c r="G110" s="26" t="str">
        <x:v>WEB</x:v>
      </x:c>
      <x:c r="H110" s="26" t="n">
        <x:v>1</x:v>
      </x:c>
      <x:c r="I110" s="36" t="n">
        <x:v>46248</x:v>
      </x:c>
      <x:c r="J110" s="26" t="str">
        <x:v>NOT_FOUND</x:v>
      </x:c>
      <x:c r="K110" s="26" t="str">
        <x:v>SCALE_BATCH_01 stop condition; NOT_APPLICABLE. Missing non-material fields remain explicit.</x:v>
      </x:c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 t="str">
        <x:v>QUE-000110</x:v>
      </x:c>
      <x:c r="B111" s="26" t="str">
        <x:v>CFG-000017</x:v>
      </x:c>
      <x:c r="C111" s="26" t="str">
        <x:v>equipment</x:v>
      </x:c>
      <x:c r="D111" s="26" t="str">
        <x:v>P0</x:v>
      </x:c>
      <x:c r="E111" s="26" t="str">
        <x:v>COMPLETE</x:v>
      </x:c>
      <x:c r="F111" s="26" t="str">
        <x:v>A1_OFFICIAL_MARKET</x:v>
      </x:c>
      <x:c r="G111" s="26" t="str">
        <x:v>WEB</x:v>
      </x:c>
      <x:c r="H111" s="26" t="n">
        <x:v>1</x:v>
      </x:c>
      <x:c r="I111" s="36" t="n">
        <x:v>46248</x:v>
      </x:c>
      <x:c r="J111" s="26" t="str">
        <x:v>NOT_FOUND</x:v>
      </x:c>
      <x:c r="K111" s="26" t="str">
        <x:v>SCALE_BATCH_01 stop condition; NOT_FOUND. Missing non-material fields remain explicit.</x:v>
      </x:c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 t="str">
        <x:v>QUE-000111</x:v>
      </x:c>
      <x:c r="B112" s="26" t="str">
        <x:v>CFG-000017</x:v>
      </x:c>
      <x:c r="C112" s="26" t="str">
        <x:v>source_provenance</x:v>
      </x:c>
      <x:c r="D112" s="26" t="str">
        <x:v>P0</x:v>
      </x:c>
      <x:c r="E112" s="26" t="str">
        <x:v>COMPLETE</x:v>
      </x:c>
      <x:c r="F112" s="26" t="str">
        <x:v>A1_OFFICIAL_MARKET</x:v>
      </x:c>
      <x:c r="G112" s="26" t="str">
        <x:v>WEB</x:v>
      </x:c>
      <x:c r="H112" s="26" t="n">
        <x:v>1</x:v>
      </x:c>
      <x:c r="I112" s="36" t="n">
        <x:v>46248</x:v>
      </x:c>
      <x:c r="J112" s="26" t="str">
        <x:v>FOUND</x:v>
      </x:c>
      <x:c r="K112" s="26" t="str">
        <x:v>SCALE_BATCH_01 stop condition; FOUND. Missing non-material fields remain explicit.</x:v>
      </x:c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 t="str">
        <x:v>QUE-000112</x:v>
      </x:c>
      <x:c r="B113" s="26" t="str">
        <x:v>CFG-000018</x:v>
      </x:c>
      <x:c r="C113" s="26" t="str">
        <x:v>identity</x:v>
      </x:c>
      <x:c r="D113" s="26" t="str">
        <x:v>P0</x:v>
      </x:c>
      <x:c r="E113" s="26" t="str">
        <x:v>COMPLETE</x:v>
      </x:c>
      <x:c r="F113" s="26" t="str">
        <x:v>A1_OFFICIAL_MARKET</x:v>
      </x:c>
      <x:c r="G113" s="26" t="str">
        <x:v>WEB</x:v>
      </x:c>
      <x:c r="H113" s="26" t="n">
        <x:v>1</x:v>
      </x:c>
      <x:c r="I113" s="36" t="n">
        <x:v>46248</x:v>
      </x:c>
      <x:c r="J113" s="26" t="str">
        <x:v>FOUND</x:v>
      </x:c>
      <x:c r="K113" s="26" t="str">
        <x:v>SCALE_BATCH_01 stop condition; FOUND. Missing non-material fields remain explicit.</x:v>
      </x:c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 t="str">
        <x:v>QUE-000113</x:v>
      </x:c>
      <x:c r="B114" s="26" t="str">
        <x:v>CFG-000018</x:v>
      </x:c>
      <x:c r="C114" s="26" t="str">
        <x:v>technical</x:v>
      </x:c>
      <x:c r="D114" s="26" t="str">
        <x:v>P0</x:v>
      </x:c>
      <x:c r="E114" s="26" t="str">
        <x:v>COMPLETE</x:v>
      </x:c>
      <x:c r="F114" s="26" t="str">
        <x:v>A1_OFFICIAL_MARKET</x:v>
      </x:c>
      <x:c r="G114" s="26" t="str">
        <x:v>WEB</x:v>
      </x:c>
      <x:c r="H114" s="26" t="n">
        <x:v>1</x:v>
      </x:c>
      <x:c r="I114" s="36" t="n">
        <x:v>46248</x:v>
      </x:c>
      <x:c r="J114" s="26" t="str">
        <x:v>FOUND</x:v>
      </x:c>
      <x:c r="K114" s="26" t="str">
        <x:v>SCALE_BATCH_01 stop condition; FOUND. Missing non-material fields remain explicit.</x:v>
      </x:c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 t="str">
        <x:v>QUE-000114</x:v>
      </x:c>
      <x:c r="B115" s="26" t="str">
        <x:v>CFG-000018</x:v>
      </x:c>
      <x:c r="C115" s="26" t="str">
        <x:v>efficiency_or_range</x:v>
      </x:c>
      <x:c r="D115" s="26" t="str">
        <x:v>P0</x:v>
      </x:c>
      <x:c r="E115" s="26" t="str">
        <x:v>COMPLETE</x:v>
      </x:c>
      <x:c r="F115" s="26" t="str">
        <x:v>A1_OFFICIAL_MARKET</x:v>
      </x:c>
      <x:c r="G115" s="26" t="str">
        <x:v>WEB</x:v>
      </x:c>
      <x:c r="H115" s="26" t="n">
        <x:v>1</x:v>
      </x:c>
      <x:c r="I115" s="36" t="n">
        <x:v>46248</x:v>
      </x:c>
      <x:c r="J115" s="26" t="str">
        <x:v>FOUND</x:v>
      </x:c>
      <x:c r="K115" s="26" t="str">
        <x:v>SCALE_BATCH_01 stop condition; FOUND. Missing non-material fields remain explicit.</x:v>
      </x:c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 t="str">
        <x:v>QUE-000115</x:v>
      </x:c>
      <x:c r="B116" s="26" t="str">
        <x:v>CFG-000018</x:v>
      </x:c>
      <x:c r="C116" s="26" t="str">
        <x:v>family_practicality</x:v>
      </x:c>
      <x:c r="D116" s="26" t="str">
        <x:v>P0</x:v>
      </x:c>
      <x:c r="E116" s="26" t="str">
        <x:v>COMPLETE</x:v>
      </x:c>
      <x:c r="F116" s="26" t="str">
        <x:v>A1_OFFICIAL_MARKET</x:v>
      </x:c>
      <x:c r="G116" s="26" t="str">
        <x:v>WEB</x:v>
      </x:c>
      <x:c r="H116" s="26" t="n">
        <x:v>1</x:v>
      </x:c>
      <x:c r="I116" s="36" t="n">
        <x:v>46248</x:v>
      </x:c>
      <x:c r="J116" s="26" t="str">
        <x:v>FOUND</x:v>
      </x:c>
      <x:c r="K116" s="26" t="str">
        <x:v>SCALE_BATCH_01 stop condition; FOUND. Missing non-material fields remain explicit.</x:v>
      </x:c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 t="str">
        <x:v>QUE-000116</x:v>
      </x:c>
      <x:c r="B117" s="26" t="str">
        <x:v>CFG-000018</x:v>
      </x:c>
      <x:c r="C117" s="26" t="str">
        <x:v>rough_road</x:v>
      </x:c>
      <x:c r="D117" s="26" t="str">
        <x:v>P0</x:v>
      </x:c>
      <x:c r="E117" s="26" t="str">
        <x:v>COMPLETE</x:v>
      </x:c>
      <x:c r="F117" s="26" t="str">
        <x:v>A1_OFFICIAL_MARKET</x:v>
      </x:c>
      <x:c r="G117" s="26" t="str">
        <x:v>WEB</x:v>
      </x:c>
      <x:c r="H117" s="26" t="n">
        <x:v>1</x:v>
      </x:c>
      <x:c r="I117" s="36" t="n">
        <x:v>46248</x:v>
      </x:c>
      <x:c r="J117" s="26" t="str">
        <x:v>NOT_FOUND</x:v>
      </x:c>
      <x:c r="K117" s="26" t="str">
        <x:v>SCALE_BATCH_01 stop condition; NOT_APPLICABLE. Missing non-material fields remain explicit.</x:v>
      </x:c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 t="str">
        <x:v>QUE-000117</x:v>
      </x:c>
      <x:c r="B118" s="26" t="str">
        <x:v>CFG-000018</x:v>
      </x:c>
      <x:c r="C118" s="26" t="str">
        <x:v>equipment</x:v>
      </x:c>
      <x:c r="D118" s="26" t="str">
        <x:v>P0</x:v>
      </x:c>
      <x:c r="E118" s="26" t="str">
        <x:v>COMPLETE</x:v>
      </x:c>
      <x:c r="F118" s="26" t="str">
        <x:v>A1_OFFICIAL_MARKET</x:v>
      </x:c>
      <x:c r="G118" s="26" t="str">
        <x:v>WEB</x:v>
      </x:c>
      <x:c r="H118" s="26" t="n">
        <x:v>1</x:v>
      </x:c>
      <x:c r="I118" s="36" t="n">
        <x:v>46248</x:v>
      </x:c>
      <x:c r="J118" s="26" t="str">
        <x:v>FOUND</x:v>
      </x:c>
      <x:c r="K118" s="26" t="str">
        <x:v>SCALE_BATCH_01 stop condition; FOUND. Missing non-material fields remain explicit.</x:v>
      </x:c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 t="str">
        <x:v>QUE-000118</x:v>
      </x:c>
      <x:c r="B119" s="26" t="str">
        <x:v>CFG-000018</x:v>
      </x:c>
      <x:c r="C119" s="26" t="str">
        <x:v>source_provenance</x:v>
      </x:c>
      <x:c r="D119" s="26" t="str">
        <x:v>P0</x:v>
      </x:c>
      <x:c r="E119" s="26" t="str">
        <x:v>COMPLETE</x:v>
      </x:c>
      <x:c r="F119" s="26" t="str">
        <x:v>A1_OFFICIAL_MARKET</x:v>
      </x:c>
      <x:c r="G119" s="26" t="str">
        <x:v>WEB</x:v>
      </x:c>
      <x:c r="H119" s="26" t="n">
        <x:v>1</x:v>
      </x:c>
      <x:c r="I119" s="36" t="n">
        <x:v>46248</x:v>
      </x:c>
      <x:c r="J119" s="26" t="str">
        <x:v>FOUND</x:v>
      </x:c>
      <x:c r="K119" s="26" t="str">
        <x:v>SCALE_BATCH_01 stop condition; FOUND. Missing non-material fields remain explicit.</x:v>
      </x:c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 t="str">
        <x:v>QUE-000119</x:v>
      </x:c>
      <x:c r="B120" s="26" t="str">
        <x:v>CFG-000019</x:v>
      </x:c>
      <x:c r="C120" s="26" t="str">
        <x:v>identity</x:v>
      </x:c>
      <x:c r="D120" s="26" t="str">
        <x:v>P0</x:v>
      </x:c>
      <x:c r="E120" s="26" t="str">
        <x:v>COMPLETE</x:v>
      </x:c>
      <x:c r="F120" s="26" t="str">
        <x:v>A1_OFFICIAL_MARKET</x:v>
      </x:c>
      <x:c r="G120" s="26" t="str">
        <x:v>WEB</x:v>
      </x:c>
      <x:c r="H120" s="26" t="n">
        <x:v>1</x:v>
      </x:c>
      <x:c r="I120" s="36" t="n">
        <x:v>46248</x:v>
      </x:c>
      <x:c r="J120" s="26" t="str">
        <x:v>FOUND</x:v>
      </x:c>
      <x:c r="K120" s="26" t="str">
        <x:v>SCALE_BATCH_01 stop condition; FOUND. Missing non-material fields remain explicit.</x:v>
      </x:c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 t="str">
        <x:v>QUE-000120</x:v>
      </x:c>
      <x:c r="B121" s="26" t="str">
        <x:v>CFG-000019</x:v>
      </x:c>
      <x:c r="C121" s="26" t="str">
        <x:v>technical</x:v>
      </x:c>
      <x:c r="D121" s="26" t="str">
        <x:v>P0</x:v>
      </x:c>
      <x:c r="E121" s="26" t="str">
        <x:v>COMPLETE</x:v>
      </x:c>
      <x:c r="F121" s="26" t="str">
        <x:v>A1_OFFICIAL_MARKET</x:v>
      </x:c>
      <x:c r="G121" s="26" t="str">
        <x:v>WEB</x:v>
      </x:c>
      <x:c r="H121" s="26" t="n">
        <x:v>1</x:v>
      </x:c>
      <x:c r="I121" s="36" t="n">
        <x:v>46248</x:v>
      </x:c>
      <x:c r="J121" s="26" t="str">
        <x:v>FOUND</x:v>
      </x:c>
      <x:c r="K121" s="26" t="str">
        <x:v>SCALE_BATCH_01 stop condition; FOUND. Missing non-material fields remain explicit.</x:v>
      </x:c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 t="str">
        <x:v>QUE-000121</x:v>
      </x:c>
      <x:c r="B122" s="26" t="str">
        <x:v>CFG-000019</x:v>
      </x:c>
      <x:c r="C122" s="26" t="str">
        <x:v>efficiency_or_range</x:v>
      </x:c>
      <x:c r="D122" s="26" t="str">
        <x:v>P0</x:v>
      </x:c>
      <x:c r="E122" s="26" t="str">
        <x:v>COMPLETE</x:v>
      </x:c>
      <x:c r="F122" s="26" t="str">
        <x:v>A1_OFFICIAL_MARKET</x:v>
      </x:c>
      <x:c r="G122" s="26" t="str">
        <x:v>WEB</x:v>
      </x:c>
      <x:c r="H122" s="26" t="n">
        <x:v>1</x:v>
      </x:c>
      <x:c r="I122" s="36" t="n">
        <x:v>46248</x:v>
      </x:c>
      <x:c r="J122" s="26" t="str">
        <x:v>FOUND</x:v>
      </x:c>
      <x:c r="K122" s="26" t="str">
        <x:v>SCALE_BATCH_01 stop condition; FOUND. Missing non-material fields remain explicit.</x:v>
      </x:c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 t="str">
        <x:v>QUE-000122</x:v>
      </x:c>
      <x:c r="B123" s="26" t="str">
        <x:v>CFG-000019</x:v>
      </x:c>
      <x:c r="C123" s="26" t="str">
        <x:v>family_practicality</x:v>
      </x:c>
      <x:c r="D123" s="26" t="str">
        <x:v>P0</x:v>
      </x:c>
      <x:c r="E123" s="26" t="str">
        <x:v>COMPLETE</x:v>
      </x:c>
      <x:c r="F123" s="26" t="str">
        <x:v>A1_OFFICIAL_MARKET</x:v>
      </x:c>
      <x:c r="G123" s="26" t="str">
        <x:v>WEB</x:v>
      </x:c>
      <x:c r="H123" s="26" t="n">
        <x:v>1</x:v>
      </x:c>
      <x:c r="I123" s="36" t="n">
        <x:v>46248</x:v>
      </x:c>
      <x:c r="J123" s="26" t="str">
        <x:v>FOUND</x:v>
      </x:c>
      <x:c r="K123" s="26" t="str">
        <x:v>SCALE_BATCH_01 stop condition; FOUND. Missing non-material fields remain explicit.</x:v>
      </x:c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 t="str">
        <x:v>QUE-000123</x:v>
      </x:c>
      <x:c r="B124" s="26" t="str">
        <x:v>CFG-000019</x:v>
      </x:c>
      <x:c r="C124" s="26" t="str">
        <x:v>rough_road</x:v>
      </x:c>
      <x:c r="D124" s="26" t="str">
        <x:v>P0</x:v>
      </x:c>
      <x:c r="E124" s="26" t="str">
        <x:v>COMPLETE</x:v>
      </x:c>
      <x:c r="F124" s="26" t="str">
        <x:v>A1_OFFICIAL_MARKET</x:v>
      </x:c>
      <x:c r="G124" s="26" t="str">
        <x:v>WEB</x:v>
      </x:c>
      <x:c r="H124" s="26" t="n">
        <x:v>1</x:v>
      </x:c>
      <x:c r="I124" s="36" t="n">
        <x:v>46248</x:v>
      </x:c>
      <x:c r="J124" s="26" t="str">
        <x:v>NOT_FOUND</x:v>
      </x:c>
      <x:c r="K124" s="26" t="str">
        <x:v>SCALE_BATCH_01 stop condition; NOT_APPLICABLE. Missing non-material fields remain explicit.</x:v>
      </x:c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 t="str">
        <x:v>QUE-000124</x:v>
      </x:c>
      <x:c r="B125" s="26" t="str">
        <x:v>CFG-000019</x:v>
      </x:c>
      <x:c r="C125" s="26" t="str">
        <x:v>equipment</x:v>
      </x:c>
      <x:c r="D125" s="26" t="str">
        <x:v>P0</x:v>
      </x:c>
      <x:c r="E125" s="26" t="str">
        <x:v>COMPLETE</x:v>
      </x:c>
      <x:c r="F125" s="26" t="str">
        <x:v>A1_OFFICIAL_MARKET</x:v>
      </x:c>
      <x:c r="G125" s="26" t="str">
        <x:v>WEB</x:v>
      </x:c>
      <x:c r="H125" s="26" t="n">
        <x:v>1</x:v>
      </x:c>
      <x:c r="I125" s="36" t="n">
        <x:v>46248</x:v>
      </x:c>
      <x:c r="J125" s="26" t="str">
        <x:v>FOUND</x:v>
      </x:c>
      <x:c r="K125" s="26" t="str">
        <x:v>SCALE_BATCH_01 stop condition; FOUND. Missing non-material fields remain explicit.</x:v>
      </x:c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 t="str">
        <x:v>QUE-000125</x:v>
      </x:c>
      <x:c r="B126" s="26" t="str">
        <x:v>CFG-000019</x:v>
      </x:c>
      <x:c r="C126" s="26" t="str">
        <x:v>source_provenance</x:v>
      </x:c>
      <x:c r="D126" s="26" t="str">
        <x:v>P0</x:v>
      </x:c>
      <x:c r="E126" s="26" t="str">
        <x:v>COMPLETE</x:v>
      </x:c>
      <x:c r="F126" s="26" t="str">
        <x:v>A1_OFFICIAL_MARKET</x:v>
      </x:c>
      <x:c r="G126" s="26" t="str">
        <x:v>WEB</x:v>
      </x:c>
      <x:c r="H126" s="26" t="n">
        <x:v>1</x:v>
      </x:c>
      <x:c r="I126" s="36" t="n">
        <x:v>46248</x:v>
      </x:c>
      <x:c r="J126" s="26" t="str">
        <x:v>FOUND</x:v>
      </x:c>
      <x:c r="K126" s="26" t="str">
        <x:v>SCALE_BATCH_01 stop condition; FOUND. Missing non-material fields remain explicit.</x:v>
      </x:c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 t="str">
        <x:v>QUE-000126</x:v>
      </x:c>
      <x:c r="B127" s="26" t="str">
        <x:v>CFG-000020</x:v>
      </x:c>
      <x:c r="C127" s="26" t="str">
        <x:v>identity</x:v>
      </x:c>
      <x:c r="D127" s="26" t="str">
        <x:v>P0</x:v>
      </x:c>
      <x:c r="E127" s="26" t="str">
        <x:v>COMPLETE</x:v>
      </x:c>
      <x:c r="F127" s="26" t="str">
        <x:v>A1_OFFICIAL_MARKET</x:v>
      </x:c>
      <x:c r="G127" s="26" t="str">
        <x:v>WEB</x:v>
      </x:c>
      <x:c r="H127" s="26" t="n">
        <x:v>1</x:v>
      </x:c>
      <x:c r="I127" s="36" t="n">
        <x:v>46248</x:v>
      </x:c>
      <x:c r="J127" s="26" t="str">
        <x:v>FOUND</x:v>
      </x:c>
      <x:c r="K127" s="26" t="str">
        <x:v>SCALE_BATCH_01 stop condition; FOUND. Missing non-material fields remain explicit.</x:v>
      </x:c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 t="str">
        <x:v>QUE-000127</x:v>
      </x:c>
      <x:c r="B128" s="26" t="str">
        <x:v>CFG-000020</x:v>
      </x:c>
      <x:c r="C128" s="26" t="str">
        <x:v>technical</x:v>
      </x:c>
      <x:c r="D128" s="26" t="str">
        <x:v>P0</x:v>
      </x:c>
      <x:c r="E128" s="26" t="str">
        <x:v>COMPLETE</x:v>
      </x:c>
      <x:c r="F128" s="26" t="str">
        <x:v>A1_OFFICIAL_MARKET</x:v>
      </x:c>
      <x:c r="G128" s="26" t="str">
        <x:v>WEB</x:v>
      </x:c>
      <x:c r="H128" s="26" t="n">
        <x:v>1</x:v>
      </x:c>
      <x:c r="I128" s="36" t="n">
        <x:v>46248</x:v>
      </x:c>
      <x:c r="J128" s="26" t="str">
        <x:v>FOUND</x:v>
      </x:c>
      <x:c r="K128" s="26" t="str">
        <x:v>SCALE_BATCH_01 stop condition; FOUND. Missing non-material fields remain explicit.</x:v>
      </x:c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 t="str">
        <x:v>QUE-000128</x:v>
      </x:c>
      <x:c r="B129" s="26" t="str">
        <x:v>CFG-000020</x:v>
      </x:c>
      <x:c r="C129" s="26" t="str">
        <x:v>efficiency_or_range</x:v>
      </x:c>
      <x:c r="D129" s="26" t="str">
        <x:v>P0</x:v>
      </x:c>
      <x:c r="E129" s="26" t="str">
        <x:v>COMPLETE</x:v>
      </x:c>
      <x:c r="F129" s="26" t="str">
        <x:v>A1_OFFICIAL_MARKET</x:v>
      </x:c>
      <x:c r="G129" s="26" t="str">
        <x:v>WEB</x:v>
      </x:c>
      <x:c r="H129" s="26" t="n">
        <x:v>1</x:v>
      </x:c>
      <x:c r="I129" s="36" t="n">
        <x:v>46248</x:v>
      </x:c>
      <x:c r="J129" s="26" t="str">
        <x:v>FOUND</x:v>
      </x:c>
      <x:c r="K129" s="26" t="str">
        <x:v>SCALE_BATCH_01 stop condition; FOUND. Missing non-material fields remain explicit.</x:v>
      </x:c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 t="str">
        <x:v>QUE-000129</x:v>
      </x:c>
      <x:c r="B130" s="26" t="str">
        <x:v>CFG-000020</x:v>
      </x:c>
      <x:c r="C130" s="26" t="str">
        <x:v>family_practicality</x:v>
      </x:c>
      <x:c r="D130" s="26" t="str">
        <x:v>P0</x:v>
      </x:c>
      <x:c r="E130" s="26" t="str">
        <x:v>COMPLETE</x:v>
      </x:c>
      <x:c r="F130" s="26" t="str">
        <x:v>A1_OFFICIAL_MARKET</x:v>
      </x:c>
      <x:c r="G130" s="26" t="str">
        <x:v>WEB</x:v>
      </x:c>
      <x:c r="H130" s="26" t="n">
        <x:v>1</x:v>
      </x:c>
      <x:c r="I130" s="36" t="n">
        <x:v>46248</x:v>
      </x:c>
      <x:c r="J130" s="26" t="str">
        <x:v>FOUND</x:v>
      </x:c>
      <x:c r="K130" s="26" t="str">
        <x:v>SCALE_BATCH_01 stop condition; FOUND. Missing non-material fields remain explicit.</x:v>
      </x:c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 t="str">
        <x:v>QUE-000130</x:v>
      </x:c>
      <x:c r="B131" s="26" t="str">
        <x:v>CFG-000020</x:v>
      </x:c>
      <x:c r="C131" s="26" t="str">
        <x:v>rough_road</x:v>
      </x:c>
      <x:c r="D131" s="26" t="str">
        <x:v>P0</x:v>
      </x:c>
      <x:c r="E131" s="26" t="str">
        <x:v>COMPLETE</x:v>
      </x:c>
      <x:c r="F131" s="26" t="str">
        <x:v>A1_OFFICIAL_MARKET</x:v>
      </x:c>
      <x:c r="G131" s="26" t="str">
        <x:v>WEB</x:v>
      </x:c>
      <x:c r="H131" s="26" t="n">
        <x:v>1</x:v>
      </x:c>
      <x:c r="I131" s="36" t="n">
        <x:v>46248</x:v>
      </x:c>
      <x:c r="J131" s="26" t="str">
        <x:v>NOT_FOUND</x:v>
      </x:c>
      <x:c r="K131" s="26" t="str">
        <x:v>SCALE_BATCH_01 stop condition; NOT_APPLICABLE. Missing non-material fields remain explicit.</x:v>
      </x:c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 t="str">
        <x:v>QUE-000131</x:v>
      </x:c>
      <x:c r="B132" s="26" t="str">
        <x:v>CFG-000020</x:v>
      </x:c>
      <x:c r="C132" s="26" t="str">
        <x:v>equipment</x:v>
      </x:c>
      <x:c r="D132" s="26" t="str">
        <x:v>P0</x:v>
      </x:c>
      <x:c r="E132" s="26" t="str">
        <x:v>COMPLETE</x:v>
      </x:c>
      <x:c r="F132" s="26" t="str">
        <x:v>A1_OFFICIAL_MARKET</x:v>
      </x:c>
      <x:c r="G132" s="26" t="str">
        <x:v>WEB</x:v>
      </x:c>
      <x:c r="H132" s="26" t="n">
        <x:v>1</x:v>
      </x:c>
      <x:c r="I132" s="36" t="n">
        <x:v>46248</x:v>
      </x:c>
      <x:c r="J132" s="26" t="str">
        <x:v>FOUND</x:v>
      </x:c>
      <x:c r="K132" s="26" t="str">
        <x:v>SCALE_BATCH_01 stop condition; FOUND. Missing non-material fields remain explicit.</x:v>
      </x:c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 t="str">
        <x:v>QUE-000132</x:v>
      </x:c>
      <x:c r="B133" s="26" t="str">
        <x:v>CFG-000020</x:v>
      </x:c>
      <x:c r="C133" s="26" t="str">
        <x:v>source_provenance</x:v>
      </x:c>
      <x:c r="D133" s="26" t="str">
        <x:v>P0</x:v>
      </x:c>
      <x:c r="E133" s="26" t="str">
        <x:v>COMPLETE</x:v>
      </x:c>
      <x:c r="F133" s="26" t="str">
        <x:v>A1_OFFICIAL_MARKET</x:v>
      </x:c>
      <x:c r="G133" s="26" t="str">
        <x:v>WEB</x:v>
      </x:c>
      <x:c r="H133" s="26" t="n">
        <x:v>1</x:v>
      </x:c>
      <x:c r="I133" s="36" t="n">
        <x:v>46248</x:v>
      </x:c>
      <x:c r="J133" s="26" t="str">
        <x:v>FOUND</x:v>
      </x:c>
      <x:c r="K133" s="26" t="str">
        <x:v>SCALE_BATCH_01 stop condition; FOUND. Missing non-material fields remain explicit.</x:v>
      </x:c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 t="str">
        <x:v>QUE-000133</x:v>
      </x:c>
      <x:c r="B134" s="26" t="str">
        <x:v>CFG-000021</x:v>
      </x:c>
      <x:c r="C134" s="26" t="str">
        <x:v>identity</x:v>
      </x:c>
      <x:c r="D134" s="26" t="str">
        <x:v>P0</x:v>
      </x:c>
      <x:c r="E134" s="26" t="str">
        <x:v>COMPLETE</x:v>
      </x:c>
      <x:c r="F134" s="26" t="str">
        <x:v>A1_OFFICIAL_MARKET</x:v>
      </x:c>
      <x:c r="G134" s="26" t="str">
        <x:v>WEB</x:v>
      </x:c>
      <x:c r="H134" s="26" t="n">
        <x:v>1</x:v>
      </x:c>
      <x:c r="I134" s="36" t="n">
        <x:v>46248</x:v>
      </x:c>
      <x:c r="J134" s="26" t="str">
        <x:v>FOUND</x:v>
      </x:c>
      <x:c r="K134" s="26" t="str">
        <x:v>SCALE_BATCH_01 stop condition; FOUND. Missing non-material fields remain explicit.</x:v>
      </x:c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 t="str">
        <x:v>QUE-000134</x:v>
      </x:c>
      <x:c r="B135" s="26" t="str">
        <x:v>CFG-000021</x:v>
      </x:c>
      <x:c r="C135" s="26" t="str">
        <x:v>technical</x:v>
      </x:c>
      <x:c r="D135" s="26" t="str">
        <x:v>P0</x:v>
      </x:c>
      <x:c r="E135" s="26" t="str">
        <x:v>COMPLETE</x:v>
      </x:c>
      <x:c r="F135" s="26" t="str">
        <x:v>A1_OFFICIAL_MARKET</x:v>
      </x:c>
      <x:c r="G135" s="26" t="str">
        <x:v>WEB</x:v>
      </x:c>
      <x:c r="H135" s="26" t="n">
        <x:v>1</x:v>
      </x:c>
      <x:c r="I135" s="36" t="n">
        <x:v>46248</x:v>
      </x:c>
      <x:c r="J135" s="26" t="str">
        <x:v>FOUND</x:v>
      </x:c>
      <x:c r="K135" s="26" t="str">
        <x:v>SCALE_BATCH_01 stop condition; FOUND. Missing non-material fields remain explicit.</x:v>
      </x:c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 t="str">
        <x:v>QUE-000135</x:v>
      </x:c>
      <x:c r="B136" s="26" t="str">
        <x:v>CFG-000021</x:v>
      </x:c>
      <x:c r="C136" s="26" t="str">
        <x:v>efficiency_or_range</x:v>
      </x:c>
      <x:c r="D136" s="26" t="str">
        <x:v>P0</x:v>
      </x:c>
      <x:c r="E136" s="26" t="str">
        <x:v>COMPLETE</x:v>
      </x:c>
      <x:c r="F136" s="26" t="str">
        <x:v>A1_OFFICIAL_MARKET</x:v>
      </x:c>
      <x:c r="G136" s="26" t="str">
        <x:v>WEB</x:v>
      </x:c>
      <x:c r="H136" s="26" t="n">
        <x:v>1</x:v>
      </x:c>
      <x:c r="I136" s="36" t="n">
        <x:v>46248</x:v>
      </x:c>
      <x:c r="J136" s="26" t="str">
        <x:v>FOUND</x:v>
      </x:c>
      <x:c r="K136" s="26" t="str">
        <x:v>SCALE_BATCH_01 stop condition; FOUND. Missing non-material fields remain explicit.</x:v>
      </x:c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 t="str">
        <x:v>QUE-000136</x:v>
      </x:c>
      <x:c r="B137" s="26" t="str">
        <x:v>CFG-000021</x:v>
      </x:c>
      <x:c r="C137" s="26" t="str">
        <x:v>family_practicality</x:v>
      </x:c>
      <x:c r="D137" s="26" t="str">
        <x:v>P0</x:v>
      </x:c>
      <x:c r="E137" s="26" t="str">
        <x:v>COMPLETE</x:v>
      </x:c>
      <x:c r="F137" s="26" t="str">
        <x:v>A1_OFFICIAL_MARKET</x:v>
      </x:c>
      <x:c r="G137" s="26" t="str">
        <x:v>WEB</x:v>
      </x:c>
      <x:c r="H137" s="26" t="n">
        <x:v>1</x:v>
      </x:c>
      <x:c r="I137" s="36" t="n">
        <x:v>46248</x:v>
      </x:c>
      <x:c r="J137" s="26" t="str">
        <x:v>FOUND</x:v>
      </x:c>
      <x:c r="K137" s="26" t="str">
        <x:v>SCALE_BATCH_01 stop condition; FOUND. Missing non-material fields remain explicit.</x:v>
      </x:c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 t="str">
        <x:v>QUE-000137</x:v>
      </x:c>
      <x:c r="B138" s="26" t="str">
        <x:v>CFG-000021</x:v>
      </x:c>
      <x:c r="C138" s="26" t="str">
        <x:v>rough_road</x:v>
      </x:c>
      <x:c r="D138" s="26" t="str">
        <x:v>P0</x:v>
      </x:c>
      <x:c r="E138" s="26" t="str">
        <x:v>COMPLETE</x:v>
      </x:c>
      <x:c r="F138" s="26" t="str">
        <x:v>A1_OFFICIAL_MARKET</x:v>
      </x:c>
      <x:c r="G138" s="26" t="str">
        <x:v>WEB</x:v>
      </x:c>
      <x:c r="H138" s="26" t="n">
        <x:v>1</x:v>
      </x:c>
      <x:c r="I138" s="36" t="n">
        <x:v>46248</x:v>
      </x:c>
      <x:c r="J138" s="26" t="str">
        <x:v>NOT_FOUND</x:v>
      </x:c>
      <x:c r="K138" s="26" t="str">
        <x:v>SCALE_BATCH_01 stop condition; NOT_APPLICABLE. Missing non-material fields remain explicit.</x:v>
      </x:c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 t="str">
        <x:v>QUE-000138</x:v>
      </x:c>
      <x:c r="B139" s="26" t="str">
        <x:v>CFG-000021</x:v>
      </x:c>
      <x:c r="C139" s="26" t="str">
        <x:v>equipment</x:v>
      </x:c>
      <x:c r="D139" s="26" t="str">
        <x:v>P0</x:v>
      </x:c>
      <x:c r="E139" s="26" t="str">
        <x:v>COMPLETE</x:v>
      </x:c>
      <x:c r="F139" s="26" t="str">
        <x:v>A1_OFFICIAL_MARKET</x:v>
      </x:c>
      <x:c r="G139" s="26" t="str">
        <x:v>WEB</x:v>
      </x:c>
      <x:c r="H139" s="26" t="n">
        <x:v>1</x:v>
      </x:c>
      <x:c r="I139" s="36" t="n">
        <x:v>46248</x:v>
      </x:c>
      <x:c r="J139" s="26" t="str">
        <x:v>FOUND</x:v>
      </x:c>
      <x:c r="K139" s="26" t="str">
        <x:v>SCALE_BATCH_01 stop condition; FOUND. Missing non-material fields remain explicit.</x:v>
      </x:c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 t="str">
        <x:v>QUE-000139</x:v>
      </x:c>
      <x:c r="B140" s="26" t="str">
        <x:v>CFG-000021</x:v>
      </x:c>
      <x:c r="C140" s="26" t="str">
        <x:v>source_provenance</x:v>
      </x:c>
      <x:c r="D140" s="26" t="str">
        <x:v>P0</x:v>
      </x:c>
      <x:c r="E140" s="26" t="str">
        <x:v>COMPLETE</x:v>
      </x:c>
      <x:c r="F140" s="26" t="str">
        <x:v>A1_OFFICIAL_MARKET</x:v>
      </x:c>
      <x:c r="G140" s="26" t="str">
        <x:v>WEB</x:v>
      </x:c>
      <x:c r="H140" s="26" t="n">
        <x:v>1</x:v>
      </x:c>
      <x:c r="I140" s="36" t="n">
        <x:v>46248</x:v>
      </x:c>
      <x:c r="J140" s="26" t="str">
        <x:v>FOUND</x:v>
      </x:c>
      <x:c r="K140" s="26" t="str">
        <x:v>SCALE_BATCH_01 stop condition; FOUND. Missing non-material fields remain explicit.</x:v>
      </x:c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 t="str">
        <x:v>QUE-000140</x:v>
      </x:c>
      <x:c r="B141" s="26" t="str">
        <x:v>CFG-000022</x:v>
      </x:c>
      <x:c r="C141" s="26" t="str">
        <x:v>identity</x:v>
      </x:c>
      <x:c r="D141" s="26" t="str">
        <x:v>P0</x:v>
      </x:c>
      <x:c r="E141" s="26" t="str">
        <x:v>COMPLETE</x:v>
      </x:c>
      <x:c r="F141" s="26" t="str">
        <x:v>A1_OFFICIAL_MARKET</x:v>
      </x:c>
      <x:c r="G141" s="26" t="str">
        <x:v>WEB</x:v>
      </x:c>
      <x:c r="H141" s="26" t="n">
        <x:v>1</x:v>
      </x:c>
      <x:c r="I141" s="36" t="n">
        <x:v>46248</x:v>
      </x:c>
      <x:c r="J141" s="26" t="str">
        <x:v>FOUND</x:v>
      </x:c>
      <x:c r="K141" s="26" t="str">
        <x:v>SCALE_BATCH_01 stop condition; FOUND. Missing non-material fields remain explicit.</x:v>
      </x:c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 t="str">
        <x:v>QUE-000141</x:v>
      </x:c>
      <x:c r="B142" s="26" t="str">
        <x:v>CFG-000022</x:v>
      </x:c>
      <x:c r="C142" s="26" t="str">
        <x:v>technical</x:v>
      </x:c>
      <x:c r="D142" s="26" t="str">
        <x:v>P0</x:v>
      </x:c>
      <x:c r="E142" s="26" t="str">
        <x:v>COMPLETE</x:v>
      </x:c>
      <x:c r="F142" s="26" t="str">
        <x:v>A1_OFFICIAL_MARKET</x:v>
      </x:c>
      <x:c r="G142" s="26" t="str">
        <x:v>WEB</x:v>
      </x:c>
      <x:c r="H142" s="26" t="n">
        <x:v>1</x:v>
      </x:c>
      <x:c r="I142" s="36" t="n">
        <x:v>46248</x:v>
      </x:c>
      <x:c r="J142" s="26" t="str">
        <x:v>FOUND</x:v>
      </x:c>
      <x:c r="K142" s="26" t="str">
        <x:v>SCALE_BATCH_01 stop condition; FOUND. Missing non-material fields remain explicit.</x:v>
      </x:c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 t="str">
        <x:v>QUE-000142</x:v>
      </x:c>
      <x:c r="B143" s="26" t="str">
        <x:v>CFG-000022</x:v>
      </x:c>
      <x:c r="C143" s="26" t="str">
        <x:v>efficiency_or_range</x:v>
      </x:c>
      <x:c r="D143" s="26" t="str">
        <x:v>P0</x:v>
      </x:c>
      <x:c r="E143" s="26" t="str">
        <x:v>COMPLETE</x:v>
      </x:c>
      <x:c r="F143" s="26" t="str">
        <x:v>A1_OFFICIAL_MARKET</x:v>
      </x:c>
      <x:c r="G143" s="26" t="str">
        <x:v>WEB</x:v>
      </x:c>
      <x:c r="H143" s="26" t="n">
        <x:v>1</x:v>
      </x:c>
      <x:c r="I143" s="36" t="n">
        <x:v>46248</x:v>
      </x:c>
      <x:c r="J143" s="26" t="str">
        <x:v>FOUND</x:v>
      </x:c>
      <x:c r="K143" s="26" t="str">
        <x:v>SCALE_BATCH_01 stop condition; FOUND. Missing non-material fields remain explicit.</x:v>
      </x:c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 t="str">
        <x:v>QUE-000143</x:v>
      </x:c>
      <x:c r="B144" s="26" t="str">
        <x:v>CFG-000022</x:v>
      </x:c>
      <x:c r="C144" s="26" t="str">
        <x:v>family_practicality</x:v>
      </x:c>
      <x:c r="D144" s="26" t="str">
        <x:v>P0</x:v>
      </x:c>
      <x:c r="E144" s="26" t="str">
        <x:v>COMPLETE</x:v>
      </x:c>
      <x:c r="F144" s="26" t="str">
        <x:v>A1_OFFICIAL_MARKET</x:v>
      </x:c>
      <x:c r="G144" s="26" t="str">
        <x:v>WEB</x:v>
      </x:c>
      <x:c r="H144" s="26" t="n">
        <x:v>1</x:v>
      </x:c>
      <x:c r="I144" s="36" t="n">
        <x:v>46248</x:v>
      </x:c>
      <x:c r="J144" s="26" t="str">
        <x:v>FOUND</x:v>
      </x:c>
      <x:c r="K144" s="26" t="str">
        <x:v>SCALE_BATCH_01 stop condition; FOUND. Missing non-material fields remain explicit.</x:v>
      </x:c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 t="str">
        <x:v>QUE-000144</x:v>
      </x:c>
      <x:c r="B145" s="26" t="str">
        <x:v>CFG-000022</x:v>
      </x:c>
      <x:c r="C145" s="26" t="str">
        <x:v>rough_road</x:v>
      </x:c>
      <x:c r="D145" s="26" t="str">
        <x:v>P0</x:v>
      </x:c>
      <x:c r="E145" s="26" t="str">
        <x:v>COMPLETE</x:v>
      </x:c>
      <x:c r="F145" s="26" t="str">
        <x:v>A1_OFFICIAL_MARKET</x:v>
      </x:c>
      <x:c r="G145" s="26" t="str">
        <x:v>WEB</x:v>
      </x:c>
      <x:c r="H145" s="26" t="n">
        <x:v>1</x:v>
      </x:c>
      <x:c r="I145" s="36" t="n">
        <x:v>46248</x:v>
      </x:c>
      <x:c r="J145" s="26" t="str">
        <x:v>FOUND</x:v>
      </x:c>
      <x:c r="K145" s="26" t="str">
        <x:v>SCALE_BATCH_01 stop condition; FOUND. Missing non-material fields remain explicit.</x:v>
      </x:c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 t="str">
        <x:v>QUE-000145</x:v>
      </x:c>
      <x:c r="B146" s="26" t="str">
        <x:v>CFG-000022</x:v>
      </x:c>
      <x:c r="C146" s="26" t="str">
        <x:v>equipment</x:v>
      </x:c>
      <x:c r="D146" s="26" t="str">
        <x:v>P0</x:v>
      </x:c>
      <x:c r="E146" s="26" t="str">
        <x:v>COMPLETE</x:v>
      </x:c>
      <x:c r="F146" s="26" t="str">
        <x:v>A1_OFFICIAL_MARKET</x:v>
      </x:c>
      <x:c r="G146" s="26" t="str">
        <x:v>WEB</x:v>
      </x:c>
      <x:c r="H146" s="26" t="n">
        <x:v>1</x:v>
      </x:c>
      <x:c r="I146" s="36" t="n">
        <x:v>46248</x:v>
      </x:c>
      <x:c r="J146" s="26" t="str">
        <x:v>FOUND</x:v>
      </x:c>
      <x:c r="K146" s="26" t="str">
        <x:v>SCALE_BATCH_01 stop condition; FOUND. Missing non-material fields remain explicit.</x:v>
      </x:c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 t="str">
        <x:v>QUE-000146</x:v>
      </x:c>
      <x:c r="B147" s="26" t="str">
        <x:v>CFG-000022</x:v>
      </x:c>
      <x:c r="C147" s="26" t="str">
        <x:v>source_provenance</x:v>
      </x:c>
      <x:c r="D147" s="26" t="str">
        <x:v>P0</x:v>
      </x:c>
      <x:c r="E147" s="26" t="str">
        <x:v>COMPLETE</x:v>
      </x:c>
      <x:c r="F147" s="26" t="str">
        <x:v>A1_OFFICIAL_MARKET</x:v>
      </x:c>
      <x:c r="G147" s="26" t="str">
        <x:v>WEB</x:v>
      </x:c>
      <x:c r="H147" s="26" t="n">
        <x:v>1</x:v>
      </x:c>
      <x:c r="I147" s="36" t="n">
        <x:v>46248</x:v>
      </x:c>
      <x:c r="J147" s="26" t="str">
        <x:v>FOUND</x:v>
      </x:c>
      <x:c r="K147" s="26" t="str">
        <x:v>SCALE_BATCH_01 stop condition; FOUND. Missing non-material fields remain explicit.</x:v>
      </x:c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 t="str">
        <x:v>QUE-000147</x:v>
      </x:c>
      <x:c r="B148" s="26" t="str">
        <x:v>CFG-000023</x:v>
      </x:c>
      <x:c r="C148" s="26" t="str">
        <x:v>identity</x:v>
      </x:c>
      <x:c r="D148" s="26" t="str">
        <x:v>P0</x:v>
      </x:c>
      <x:c r="E148" s="26" t="str">
        <x:v>COMPLETE</x:v>
      </x:c>
      <x:c r="F148" s="26" t="str">
        <x:v>A1_OFFICIAL_MARKET</x:v>
      </x:c>
      <x:c r="G148" s="26" t="str">
        <x:v>WEB</x:v>
      </x:c>
      <x:c r="H148" s="26" t="n">
        <x:v>1</x:v>
      </x:c>
      <x:c r="I148" s="36" t="n">
        <x:v>46248</x:v>
      </x:c>
      <x:c r="J148" s="26" t="str">
        <x:v>FOUND</x:v>
      </x:c>
      <x:c r="K148" s="26" t="str">
        <x:v>SCALE_BATCH_01 stop condition; FOUND. Missing non-material fields remain explicit.</x:v>
      </x:c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 t="str">
        <x:v>QUE-000148</x:v>
      </x:c>
      <x:c r="B149" s="26" t="str">
        <x:v>CFG-000023</x:v>
      </x:c>
      <x:c r="C149" s="26" t="str">
        <x:v>technical</x:v>
      </x:c>
      <x:c r="D149" s="26" t="str">
        <x:v>P0</x:v>
      </x:c>
      <x:c r="E149" s="26" t="str">
        <x:v>COMPLETE</x:v>
      </x:c>
      <x:c r="F149" s="26" t="str">
        <x:v>A1_OFFICIAL_MARKET</x:v>
      </x:c>
      <x:c r="G149" s="26" t="str">
        <x:v>WEB</x:v>
      </x:c>
      <x:c r="H149" s="26" t="n">
        <x:v>1</x:v>
      </x:c>
      <x:c r="I149" s="36" t="n">
        <x:v>46248</x:v>
      </x:c>
      <x:c r="J149" s="26" t="str">
        <x:v>FOUND</x:v>
      </x:c>
      <x:c r="K149" s="26" t="str">
        <x:v>SCALE_BATCH_01 stop condition; FOUND. Missing non-material fields remain explicit.</x:v>
      </x:c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 t="str">
        <x:v>QUE-000149</x:v>
      </x:c>
      <x:c r="B150" s="26" t="str">
        <x:v>CFG-000023</x:v>
      </x:c>
      <x:c r="C150" s="26" t="str">
        <x:v>efficiency_or_range</x:v>
      </x:c>
      <x:c r="D150" s="26" t="str">
        <x:v>P0</x:v>
      </x:c>
      <x:c r="E150" s="26" t="str">
        <x:v>COMPLETE</x:v>
      </x:c>
      <x:c r="F150" s="26" t="str">
        <x:v>A1_OFFICIAL_MARKET</x:v>
      </x:c>
      <x:c r="G150" s="26" t="str">
        <x:v>WEB</x:v>
      </x:c>
      <x:c r="H150" s="26" t="n">
        <x:v>1</x:v>
      </x:c>
      <x:c r="I150" s="36" t="n">
        <x:v>46248</x:v>
      </x:c>
      <x:c r="J150" s="26" t="str">
        <x:v>FOUND</x:v>
      </x:c>
      <x:c r="K150" s="26" t="str">
        <x:v>SCALE_BATCH_01 stop condition; FOUND. Missing non-material fields remain explicit.</x:v>
      </x:c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 t="str">
        <x:v>QUE-000150</x:v>
      </x:c>
      <x:c r="B151" s="26" t="str">
        <x:v>CFG-000023</x:v>
      </x:c>
      <x:c r="C151" s="26" t="str">
        <x:v>family_practicality</x:v>
      </x:c>
      <x:c r="D151" s="26" t="str">
        <x:v>P0</x:v>
      </x:c>
      <x:c r="E151" s="26" t="str">
        <x:v>COMPLETE</x:v>
      </x:c>
      <x:c r="F151" s="26" t="str">
        <x:v>A1_OFFICIAL_MARKET</x:v>
      </x:c>
      <x:c r="G151" s="26" t="str">
        <x:v>WEB</x:v>
      </x:c>
      <x:c r="H151" s="26" t="n">
        <x:v>1</x:v>
      </x:c>
      <x:c r="I151" s="36" t="n">
        <x:v>46248</x:v>
      </x:c>
      <x:c r="J151" s="26" t="str">
        <x:v>FOUND</x:v>
      </x:c>
      <x:c r="K151" s="26" t="str">
        <x:v>SCALE_BATCH_01 stop condition; FOUND. Missing non-material fields remain explicit.</x:v>
      </x:c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 t="str">
        <x:v>QUE-000151</x:v>
      </x:c>
      <x:c r="B152" s="26" t="str">
        <x:v>CFG-000023</x:v>
      </x:c>
      <x:c r="C152" s="26" t="str">
        <x:v>rough_road</x:v>
      </x:c>
      <x:c r="D152" s="26" t="str">
        <x:v>P0</x:v>
      </x:c>
      <x:c r="E152" s="26" t="str">
        <x:v>COMPLETE</x:v>
      </x:c>
      <x:c r="F152" s="26" t="str">
        <x:v>A1_OFFICIAL_MARKET</x:v>
      </x:c>
      <x:c r="G152" s="26" t="str">
        <x:v>WEB</x:v>
      </x:c>
      <x:c r="H152" s="26" t="n">
        <x:v>1</x:v>
      </x:c>
      <x:c r="I152" s="36" t="n">
        <x:v>46248</x:v>
      </x:c>
      <x:c r="J152" s="26" t="str">
        <x:v>NOT_FOUND</x:v>
      </x:c>
      <x:c r="K152" s="26" t="str">
        <x:v>SCALE_BATCH_01 stop condition; NOT_APPLICABLE. Missing non-material fields remain explicit.</x:v>
      </x:c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 t="str">
        <x:v>QUE-000152</x:v>
      </x:c>
      <x:c r="B153" s="26" t="str">
        <x:v>CFG-000023</x:v>
      </x:c>
      <x:c r="C153" s="26" t="str">
        <x:v>equipment</x:v>
      </x:c>
      <x:c r="D153" s="26" t="str">
        <x:v>P0</x:v>
      </x:c>
      <x:c r="E153" s="26" t="str">
        <x:v>COMPLETE</x:v>
      </x:c>
      <x:c r="F153" s="26" t="str">
        <x:v>A1_OFFICIAL_MARKET</x:v>
      </x:c>
      <x:c r="G153" s="26" t="str">
        <x:v>WEB</x:v>
      </x:c>
      <x:c r="H153" s="26" t="n">
        <x:v>1</x:v>
      </x:c>
      <x:c r="I153" s="36" t="n">
        <x:v>46248</x:v>
      </x:c>
      <x:c r="J153" s="26" t="str">
        <x:v>FOUND</x:v>
      </x:c>
      <x:c r="K153" s="26" t="str">
        <x:v>SCALE_BATCH_01 stop condition; FOUND. Missing non-material fields remain explicit.</x:v>
      </x:c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 t="str">
        <x:v>QUE-000153</x:v>
      </x:c>
      <x:c r="B154" s="26" t="str">
        <x:v>CFG-000023</x:v>
      </x:c>
      <x:c r="C154" s="26" t="str">
        <x:v>source_provenance</x:v>
      </x:c>
      <x:c r="D154" s="26" t="str">
        <x:v>P0</x:v>
      </x:c>
      <x:c r="E154" s="26" t="str">
        <x:v>COMPLETE</x:v>
      </x:c>
      <x:c r="F154" s="26" t="str">
        <x:v>A1_OFFICIAL_MARKET</x:v>
      </x:c>
      <x:c r="G154" s="26" t="str">
        <x:v>WEB</x:v>
      </x:c>
      <x:c r="H154" s="26" t="n">
        <x:v>1</x:v>
      </x:c>
      <x:c r="I154" s="36" t="n">
        <x:v>46248</x:v>
      </x:c>
      <x:c r="J154" s="26" t="str">
        <x:v>FOUND</x:v>
      </x:c>
      <x:c r="K154" s="26" t="str">
        <x:v>SCALE_BATCH_01 stop condition; FOUND. Missing non-material fields remain explicit.</x:v>
      </x:c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 t="str">
        <x:v>QUE-000154</x:v>
      </x:c>
      <x:c r="B155" s="26" t="str">
        <x:v>CFG-000024</x:v>
      </x:c>
      <x:c r="C155" s="26" t="str">
        <x:v>identity</x:v>
      </x:c>
      <x:c r="D155" s="26" t="str">
        <x:v>P0</x:v>
      </x:c>
      <x:c r="E155" s="26" t="str">
        <x:v>COMPLETE</x:v>
      </x:c>
      <x:c r="F155" s="26" t="str">
        <x:v>A1_OFFICIAL_MARKET</x:v>
      </x:c>
      <x:c r="G155" s="26" t="str">
        <x:v>WEB</x:v>
      </x:c>
      <x:c r="H155" s="26" t="n">
        <x:v>1</x:v>
      </x:c>
      <x:c r="I155" s="36" t="n">
        <x:v>46248</x:v>
      </x:c>
      <x:c r="J155" s="26" t="str">
        <x:v>FOUND</x:v>
      </x:c>
      <x:c r="K155" s="26" t="str">
        <x:v>SCALE_BATCH_01 stop condition; FOUND. Missing non-material fields remain explicit.</x:v>
      </x:c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 t="str">
        <x:v>QUE-000155</x:v>
      </x:c>
      <x:c r="B156" s="26" t="str">
        <x:v>CFG-000024</x:v>
      </x:c>
      <x:c r="C156" s="26" t="str">
        <x:v>technical</x:v>
      </x:c>
      <x:c r="D156" s="26" t="str">
        <x:v>P0</x:v>
      </x:c>
      <x:c r="E156" s="26" t="str">
        <x:v>COMPLETE</x:v>
      </x:c>
      <x:c r="F156" s="26" t="str">
        <x:v>A1_OFFICIAL_MARKET</x:v>
      </x:c>
      <x:c r="G156" s="26" t="str">
        <x:v>WEB</x:v>
      </x:c>
      <x:c r="H156" s="26" t="n">
        <x:v>1</x:v>
      </x:c>
      <x:c r="I156" s="36" t="n">
        <x:v>46248</x:v>
      </x:c>
      <x:c r="J156" s="26" t="str">
        <x:v>FOUND</x:v>
      </x:c>
      <x:c r="K156" s="26" t="str">
        <x:v>SCALE_BATCH_01 stop condition; FOUND. Missing non-material fields remain explicit.</x:v>
      </x:c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 t="str">
        <x:v>QUE-000156</x:v>
      </x:c>
      <x:c r="B157" s="26" t="str">
        <x:v>CFG-000024</x:v>
      </x:c>
      <x:c r="C157" s="26" t="str">
        <x:v>efficiency_or_range</x:v>
      </x:c>
      <x:c r="D157" s="26" t="str">
        <x:v>P0</x:v>
      </x:c>
      <x:c r="E157" s="26" t="str">
        <x:v>COMPLETE</x:v>
      </x:c>
      <x:c r="F157" s="26" t="str">
        <x:v>A1_OFFICIAL_MARKET</x:v>
      </x:c>
      <x:c r="G157" s="26" t="str">
        <x:v>WEB</x:v>
      </x:c>
      <x:c r="H157" s="26" t="n">
        <x:v>1</x:v>
      </x:c>
      <x:c r="I157" s="36" t="n">
        <x:v>46248</x:v>
      </x:c>
      <x:c r="J157" s="26" t="str">
        <x:v>FOUND</x:v>
      </x:c>
      <x:c r="K157" s="26" t="str">
        <x:v>SCALE_BATCH_01 stop condition; FOUND. Missing non-material fields remain explicit.</x:v>
      </x:c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 t="str">
        <x:v>QUE-000157</x:v>
      </x:c>
      <x:c r="B158" s="26" t="str">
        <x:v>CFG-000024</x:v>
      </x:c>
      <x:c r="C158" s="26" t="str">
        <x:v>family_practicality</x:v>
      </x:c>
      <x:c r="D158" s="26" t="str">
        <x:v>P0</x:v>
      </x:c>
      <x:c r="E158" s="26" t="str">
        <x:v>COMPLETE</x:v>
      </x:c>
      <x:c r="F158" s="26" t="str">
        <x:v>A1_OFFICIAL_MARKET</x:v>
      </x:c>
      <x:c r="G158" s="26" t="str">
        <x:v>WEB</x:v>
      </x:c>
      <x:c r="H158" s="26" t="n">
        <x:v>1</x:v>
      </x:c>
      <x:c r="I158" s="36" t="n">
        <x:v>46248</x:v>
      </x:c>
      <x:c r="J158" s="26" t="str">
        <x:v>FOUND</x:v>
      </x:c>
      <x:c r="K158" s="26" t="str">
        <x:v>SCALE_BATCH_01 stop condition; FOUND. Missing non-material fields remain explicit.</x:v>
      </x:c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 t="str">
        <x:v>QUE-000158</x:v>
      </x:c>
      <x:c r="B159" s="26" t="str">
        <x:v>CFG-000024</x:v>
      </x:c>
      <x:c r="C159" s="26" t="str">
        <x:v>rough_road</x:v>
      </x:c>
      <x:c r="D159" s="26" t="str">
        <x:v>P0</x:v>
      </x:c>
      <x:c r="E159" s="26" t="str">
        <x:v>COMPLETE</x:v>
      </x:c>
      <x:c r="F159" s="26" t="str">
        <x:v>A1_OFFICIAL_MARKET</x:v>
      </x:c>
      <x:c r="G159" s="26" t="str">
        <x:v>WEB</x:v>
      </x:c>
      <x:c r="H159" s="26" t="n">
        <x:v>1</x:v>
      </x:c>
      <x:c r="I159" s="36" t="n">
        <x:v>46248</x:v>
      </x:c>
      <x:c r="J159" s="26" t="str">
        <x:v>NOT_FOUND</x:v>
      </x:c>
      <x:c r="K159" s="26" t="str">
        <x:v>SCALE_BATCH_01 stop condition; NOT_APPLICABLE. Missing non-material fields remain explicit.</x:v>
      </x:c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 t="str">
        <x:v>QUE-000159</x:v>
      </x:c>
      <x:c r="B160" s="26" t="str">
        <x:v>CFG-000024</x:v>
      </x:c>
      <x:c r="C160" s="26" t="str">
        <x:v>equipment</x:v>
      </x:c>
      <x:c r="D160" s="26" t="str">
        <x:v>P0</x:v>
      </x:c>
      <x:c r="E160" s="26" t="str">
        <x:v>COMPLETE</x:v>
      </x:c>
      <x:c r="F160" s="26" t="str">
        <x:v>A1_OFFICIAL_MARKET</x:v>
      </x:c>
      <x:c r="G160" s="26" t="str">
        <x:v>WEB</x:v>
      </x:c>
      <x:c r="H160" s="26" t="n">
        <x:v>1</x:v>
      </x:c>
      <x:c r="I160" s="36" t="n">
        <x:v>46248</x:v>
      </x:c>
      <x:c r="J160" s="26" t="str">
        <x:v>FOUND</x:v>
      </x:c>
      <x:c r="K160" s="26" t="str">
        <x:v>SCALE_BATCH_01 stop condition; FOUND. Missing non-material fields remain explicit.</x:v>
      </x:c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 t="str">
        <x:v>QUE-000160</x:v>
      </x:c>
      <x:c r="B161" s="26" t="str">
        <x:v>CFG-000024</x:v>
      </x:c>
      <x:c r="C161" s="26" t="str">
        <x:v>source_provenance</x:v>
      </x:c>
      <x:c r="D161" s="26" t="str">
        <x:v>P0</x:v>
      </x:c>
      <x:c r="E161" s="26" t="str">
        <x:v>COMPLETE</x:v>
      </x:c>
      <x:c r="F161" s="26" t="str">
        <x:v>A1_OFFICIAL_MARKET</x:v>
      </x:c>
      <x:c r="G161" s="26" t="str">
        <x:v>WEB</x:v>
      </x:c>
      <x:c r="H161" s="26" t="n">
        <x:v>1</x:v>
      </x:c>
      <x:c r="I161" s="36" t="n">
        <x:v>46248</x:v>
      </x:c>
      <x:c r="J161" s="26" t="str">
        <x:v>FOUND</x:v>
      </x:c>
      <x:c r="K161" s="26" t="str">
        <x:v>SCALE_BATCH_01 stop condition; FOUND. Missing non-material fields remain explicit.</x:v>
      </x:c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 t="str">
        <x:v>QUE-000161</x:v>
      </x:c>
      <x:c r="B162" s="26" t="str">
        <x:v>CFG-000025</x:v>
      </x:c>
      <x:c r="C162" s="26" t="str">
        <x:v>identity</x:v>
      </x:c>
      <x:c r="D162" s="26" t="str">
        <x:v>P0</x:v>
      </x:c>
      <x:c r="E162" s="26" t="str">
        <x:v>COMPLETE</x:v>
      </x:c>
      <x:c r="F162" s="26" t="str">
        <x:v>A1_OFFICIAL_MARKET</x:v>
      </x:c>
      <x:c r="G162" s="26" t="str">
        <x:v>WEB</x:v>
      </x:c>
      <x:c r="H162" s="26" t="n">
        <x:v>1</x:v>
      </x:c>
      <x:c r="I162" s="36" t="n">
        <x:v>46248</x:v>
      </x:c>
      <x:c r="J162" s="26" t="str">
        <x:v>FOUND</x:v>
      </x:c>
      <x:c r="K162" s="26" t="str">
        <x:v>SCALE_BATCH_01 stop condition; FOUND. Missing non-material fields remain explicit.</x:v>
      </x:c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 t="str">
        <x:v>QUE-000162</x:v>
      </x:c>
      <x:c r="B163" s="26" t="str">
        <x:v>CFG-000025</x:v>
      </x:c>
      <x:c r="C163" s="26" t="str">
        <x:v>technical</x:v>
      </x:c>
      <x:c r="D163" s="26" t="str">
        <x:v>P0</x:v>
      </x:c>
      <x:c r="E163" s="26" t="str">
        <x:v>COMPLETE</x:v>
      </x:c>
      <x:c r="F163" s="26" t="str">
        <x:v>A1_OFFICIAL_MARKET</x:v>
      </x:c>
      <x:c r="G163" s="26" t="str">
        <x:v>WEB</x:v>
      </x:c>
      <x:c r="H163" s="26" t="n">
        <x:v>1</x:v>
      </x:c>
      <x:c r="I163" s="36" t="n">
        <x:v>46248</x:v>
      </x:c>
      <x:c r="J163" s="26" t="str">
        <x:v>FOUND</x:v>
      </x:c>
      <x:c r="K163" s="26" t="str">
        <x:v>SCALE_BATCH_01 stop condition; FOUND. Missing non-material fields remain explicit.</x:v>
      </x:c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 t="str">
        <x:v>QUE-000163</x:v>
      </x:c>
      <x:c r="B164" s="26" t="str">
        <x:v>CFG-000025</x:v>
      </x:c>
      <x:c r="C164" s="26" t="str">
        <x:v>efficiency_or_range</x:v>
      </x:c>
      <x:c r="D164" s="26" t="str">
        <x:v>P0</x:v>
      </x:c>
      <x:c r="E164" s="26" t="str">
        <x:v>COMPLETE</x:v>
      </x:c>
      <x:c r="F164" s="26" t="str">
        <x:v>A1_OFFICIAL_MARKET</x:v>
      </x:c>
      <x:c r="G164" s="26" t="str">
        <x:v>WEB</x:v>
      </x:c>
      <x:c r="H164" s="26" t="n">
        <x:v>1</x:v>
      </x:c>
      <x:c r="I164" s="36" t="n">
        <x:v>46248</x:v>
      </x:c>
      <x:c r="J164" s="26" t="str">
        <x:v>FOUND</x:v>
      </x:c>
      <x:c r="K164" s="26" t="str">
        <x:v>SCALE_BATCH_01 stop condition; FOUND. Missing non-material fields remain explicit.</x:v>
      </x:c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 t="str">
        <x:v>QUE-000164</x:v>
      </x:c>
      <x:c r="B165" s="26" t="str">
        <x:v>CFG-000025</x:v>
      </x:c>
      <x:c r="C165" s="26" t="str">
        <x:v>family_practicality</x:v>
      </x:c>
      <x:c r="D165" s="26" t="str">
        <x:v>P0</x:v>
      </x:c>
      <x:c r="E165" s="26" t="str">
        <x:v>COMPLETE</x:v>
      </x:c>
      <x:c r="F165" s="26" t="str">
        <x:v>A1_OFFICIAL_MARKET</x:v>
      </x:c>
      <x:c r="G165" s="26" t="str">
        <x:v>WEB</x:v>
      </x:c>
      <x:c r="H165" s="26" t="n">
        <x:v>1</x:v>
      </x:c>
      <x:c r="I165" s="36" t="n">
        <x:v>46248</x:v>
      </x:c>
      <x:c r="J165" s="26" t="str">
        <x:v>FOUND</x:v>
      </x:c>
      <x:c r="K165" s="26" t="str">
        <x:v>SCALE_BATCH_01 stop condition; FOUND. Missing non-material fields remain explicit.</x:v>
      </x:c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 t="str">
        <x:v>QUE-000165</x:v>
      </x:c>
      <x:c r="B166" s="26" t="str">
        <x:v>CFG-000025</x:v>
      </x:c>
      <x:c r="C166" s="26" t="str">
        <x:v>rough_road</x:v>
      </x:c>
      <x:c r="D166" s="26" t="str">
        <x:v>P0</x:v>
      </x:c>
      <x:c r="E166" s="26" t="str">
        <x:v>COMPLETE</x:v>
      </x:c>
      <x:c r="F166" s="26" t="str">
        <x:v>A1_OFFICIAL_MARKET</x:v>
      </x:c>
      <x:c r="G166" s="26" t="str">
        <x:v>WEB</x:v>
      </x:c>
      <x:c r="H166" s="26" t="n">
        <x:v>1</x:v>
      </x:c>
      <x:c r="I166" s="36" t="n">
        <x:v>46248</x:v>
      </x:c>
      <x:c r="J166" s="26" t="str">
        <x:v>NOT_FOUND</x:v>
      </x:c>
      <x:c r="K166" s="26" t="str">
        <x:v>SCALE_BATCH_01 stop condition; NOT_APPLICABLE. Missing non-material fields remain explicit.</x:v>
      </x:c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 t="str">
        <x:v>QUE-000166</x:v>
      </x:c>
      <x:c r="B167" s="26" t="str">
        <x:v>CFG-000025</x:v>
      </x:c>
      <x:c r="C167" s="26" t="str">
        <x:v>equipment</x:v>
      </x:c>
      <x:c r="D167" s="26" t="str">
        <x:v>P0</x:v>
      </x:c>
      <x:c r="E167" s="26" t="str">
        <x:v>COMPLETE</x:v>
      </x:c>
      <x:c r="F167" s="26" t="str">
        <x:v>A1_OFFICIAL_MARKET</x:v>
      </x:c>
      <x:c r="G167" s="26" t="str">
        <x:v>WEB</x:v>
      </x:c>
      <x:c r="H167" s="26" t="n">
        <x:v>1</x:v>
      </x:c>
      <x:c r="I167" s="36" t="n">
        <x:v>46248</x:v>
      </x:c>
      <x:c r="J167" s="26" t="str">
        <x:v>FOUND</x:v>
      </x:c>
      <x:c r="K167" s="26" t="str">
        <x:v>SCALE_BATCH_01 stop condition; FOUND. Missing non-material fields remain explicit.</x:v>
      </x:c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 t="str">
        <x:v>QUE-000167</x:v>
      </x:c>
      <x:c r="B168" s="26" t="str">
        <x:v>CFG-000025</x:v>
      </x:c>
      <x:c r="C168" s="26" t="str">
        <x:v>source_provenance</x:v>
      </x:c>
      <x:c r="D168" s="26" t="str">
        <x:v>P0</x:v>
      </x:c>
      <x:c r="E168" s="26" t="str">
        <x:v>COMPLETE</x:v>
      </x:c>
      <x:c r="F168" s="26" t="str">
        <x:v>A1_OFFICIAL_MARKET</x:v>
      </x:c>
      <x:c r="G168" s="26" t="str">
        <x:v>WEB</x:v>
      </x:c>
      <x:c r="H168" s="26" t="n">
        <x:v>1</x:v>
      </x:c>
      <x:c r="I168" s="36" t="n">
        <x:v>46248</x:v>
      </x:c>
      <x:c r="J168" s="26" t="str">
        <x:v>FOUND</x:v>
      </x:c>
      <x:c r="K168" s="26" t="str">
        <x:v>SCALE_BATCH_01 stop condition; FOUND. Missing non-material fields remain explicit.</x:v>
      </x:c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 t="str">
        <x:v>QUE-000168</x:v>
      </x:c>
      <x:c r="B169" s="26" t="str">
        <x:v>CFG-000026</x:v>
      </x:c>
      <x:c r="C169" s="26" t="str">
        <x:v>identity</x:v>
      </x:c>
      <x:c r="D169" s="26" t="str">
        <x:v>P0</x:v>
      </x:c>
      <x:c r="E169" s="26" t="str">
        <x:v>COMPLETE</x:v>
      </x:c>
      <x:c r="F169" s="26" t="str">
        <x:v>A1_OFFICIAL_MARKET</x:v>
      </x:c>
      <x:c r="G169" s="26" t="str">
        <x:v>WEB</x:v>
      </x:c>
      <x:c r="H169" s="26" t="n">
        <x:v>1</x:v>
      </x:c>
      <x:c r="I169" s="36" t="n">
        <x:v>46248</x:v>
      </x:c>
      <x:c r="J169" s="26" t="str">
        <x:v>FOUND</x:v>
      </x:c>
      <x:c r="K169" s="26" t="str">
        <x:v>SCALE_BATCH_01 stop condition; FOUND. Missing non-material fields remain explicit.</x:v>
      </x:c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 t="str">
        <x:v>QUE-000169</x:v>
      </x:c>
      <x:c r="B170" s="26" t="str">
        <x:v>CFG-000026</x:v>
      </x:c>
      <x:c r="C170" s="26" t="str">
        <x:v>technical</x:v>
      </x:c>
      <x:c r="D170" s="26" t="str">
        <x:v>P0</x:v>
      </x:c>
      <x:c r="E170" s="26" t="str">
        <x:v>COMPLETE</x:v>
      </x:c>
      <x:c r="F170" s="26" t="str">
        <x:v>A1_OFFICIAL_MARKET</x:v>
      </x:c>
      <x:c r="G170" s="26" t="str">
        <x:v>WEB</x:v>
      </x:c>
      <x:c r="H170" s="26" t="n">
        <x:v>1</x:v>
      </x:c>
      <x:c r="I170" s="36" t="n">
        <x:v>46248</x:v>
      </x:c>
      <x:c r="J170" s="26" t="str">
        <x:v>FOUND</x:v>
      </x:c>
      <x:c r="K170" s="26" t="str">
        <x:v>SCALE_BATCH_01 stop condition; FOUND. Missing non-material fields remain explicit.</x:v>
      </x:c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 t="str">
        <x:v>QUE-000170</x:v>
      </x:c>
      <x:c r="B171" s="26" t="str">
        <x:v>CFG-000026</x:v>
      </x:c>
      <x:c r="C171" s="26" t="str">
        <x:v>efficiency_or_range</x:v>
      </x:c>
      <x:c r="D171" s="26" t="str">
        <x:v>P0</x:v>
      </x:c>
      <x:c r="E171" s="26" t="str">
        <x:v>COMPLETE</x:v>
      </x:c>
      <x:c r="F171" s="26" t="str">
        <x:v>A1_OFFICIAL_MARKET</x:v>
      </x:c>
      <x:c r="G171" s="26" t="str">
        <x:v>WEB</x:v>
      </x:c>
      <x:c r="H171" s="26" t="n">
        <x:v>1</x:v>
      </x:c>
      <x:c r="I171" s="36" t="n">
        <x:v>46248</x:v>
      </x:c>
      <x:c r="J171" s="26" t="str">
        <x:v>FOUND</x:v>
      </x:c>
      <x:c r="K171" s="26" t="str">
        <x:v>SCALE_BATCH_01 stop condition; FOUND. Missing non-material fields remain explicit.</x:v>
      </x:c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 t="str">
        <x:v>QUE-000171</x:v>
      </x:c>
      <x:c r="B172" s="26" t="str">
        <x:v>CFG-000026</x:v>
      </x:c>
      <x:c r="C172" s="26" t="str">
        <x:v>family_practicality</x:v>
      </x:c>
      <x:c r="D172" s="26" t="str">
        <x:v>P0</x:v>
      </x:c>
      <x:c r="E172" s="26" t="str">
        <x:v>COMPLETE</x:v>
      </x:c>
      <x:c r="F172" s="26" t="str">
        <x:v>A1_OFFICIAL_MARKET</x:v>
      </x:c>
      <x:c r="G172" s="26" t="str">
        <x:v>WEB</x:v>
      </x:c>
      <x:c r="H172" s="26" t="n">
        <x:v>1</x:v>
      </x:c>
      <x:c r="I172" s="36" t="n">
        <x:v>46248</x:v>
      </x:c>
      <x:c r="J172" s="26" t="str">
        <x:v>FOUND</x:v>
      </x:c>
      <x:c r="K172" s="26" t="str">
        <x:v>SCALE_BATCH_01 stop condition; FOUND. Missing non-material fields remain explicit.</x:v>
      </x:c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 t="str">
        <x:v>QUE-000172</x:v>
      </x:c>
      <x:c r="B173" s="26" t="str">
        <x:v>CFG-000026</x:v>
      </x:c>
      <x:c r="C173" s="26" t="str">
        <x:v>rough_road</x:v>
      </x:c>
      <x:c r="D173" s="26" t="str">
        <x:v>P0</x:v>
      </x:c>
      <x:c r="E173" s="26" t="str">
        <x:v>COMPLETE</x:v>
      </x:c>
      <x:c r="F173" s="26" t="str">
        <x:v>A1_OFFICIAL_MARKET</x:v>
      </x:c>
      <x:c r="G173" s="26" t="str">
        <x:v>WEB</x:v>
      </x:c>
      <x:c r="H173" s="26" t="n">
        <x:v>1</x:v>
      </x:c>
      <x:c r="I173" s="36" t="n">
        <x:v>46248</x:v>
      </x:c>
      <x:c r="J173" s="26" t="str">
        <x:v>NOT_FOUND</x:v>
      </x:c>
      <x:c r="K173" s="26" t="str">
        <x:v>SCALE_BATCH_01 stop condition; NOT_APPLICABLE. Missing non-material fields remain explicit.</x:v>
      </x:c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 t="str">
        <x:v>QUE-000173</x:v>
      </x:c>
      <x:c r="B174" s="26" t="str">
        <x:v>CFG-000026</x:v>
      </x:c>
      <x:c r="C174" s="26" t="str">
        <x:v>equipment</x:v>
      </x:c>
      <x:c r="D174" s="26" t="str">
        <x:v>P0</x:v>
      </x:c>
      <x:c r="E174" s="26" t="str">
        <x:v>COMPLETE</x:v>
      </x:c>
      <x:c r="F174" s="26" t="str">
        <x:v>A1_OFFICIAL_MARKET</x:v>
      </x:c>
      <x:c r="G174" s="26" t="str">
        <x:v>WEB</x:v>
      </x:c>
      <x:c r="H174" s="26" t="n">
        <x:v>1</x:v>
      </x:c>
      <x:c r="I174" s="36" t="n">
        <x:v>46248</x:v>
      </x:c>
      <x:c r="J174" s="26" t="str">
        <x:v>FOUND</x:v>
      </x:c>
      <x:c r="K174" s="26" t="str">
        <x:v>SCALE_BATCH_01 stop condition; FOUND. Missing non-material fields remain explicit.</x:v>
      </x:c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 t="str">
        <x:v>QUE-000174</x:v>
      </x:c>
      <x:c r="B175" s="26" t="str">
        <x:v>CFG-000026</x:v>
      </x:c>
      <x:c r="C175" s="26" t="str">
        <x:v>source_provenance</x:v>
      </x:c>
      <x:c r="D175" s="26" t="str">
        <x:v>P0</x:v>
      </x:c>
      <x:c r="E175" s="26" t="str">
        <x:v>COMPLETE</x:v>
      </x:c>
      <x:c r="F175" s="26" t="str">
        <x:v>A1_OFFICIAL_MARKET</x:v>
      </x:c>
      <x:c r="G175" s="26" t="str">
        <x:v>WEB</x:v>
      </x:c>
      <x:c r="H175" s="26" t="n">
        <x:v>1</x:v>
      </x:c>
      <x:c r="I175" s="36" t="n">
        <x:v>46248</x:v>
      </x:c>
      <x:c r="J175" s="26" t="str">
        <x:v>FOUND</x:v>
      </x:c>
      <x:c r="K175" s="26" t="str">
        <x:v>SCALE_BATCH_01 stop condition; FOUND. Missing non-material fields remain explicit.</x:v>
      </x:c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 t="str">
        <x:v>QUE-000175</x:v>
      </x:c>
      <x:c r="B176" s="26" t="str">
        <x:v>CFG-000027</x:v>
      </x:c>
      <x:c r="C176" s="26" t="str">
        <x:v>identity</x:v>
      </x:c>
      <x:c r="D176" s="26" t="str">
        <x:v>P0</x:v>
      </x:c>
      <x:c r="E176" s="26" t="str">
        <x:v>COMPLETE</x:v>
      </x:c>
      <x:c r="F176" s="26" t="str">
        <x:v>A1_OFFICIAL_MARKET</x:v>
      </x:c>
      <x:c r="G176" s="26" t="str">
        <x:v>WEB</x:v>
      </x:c>
      <x:c r="H176" s="26" t="n">
        <x:v>1</x:v>
      </x:c>
      <x:c r="I176" s="36" t="n">
        <x:v>46248</x:v>
      </x:c>
      <x:c r="J176" s="26" t="str">
        <x:v>FOUND</x:v>
      </x:c>
      <x:c r="K176" s="26" t="str">
        <x:v>SCALE_BATCH_01 stop condition; FOUND. Missing non-material fields remain explicit.</x:v>
      </x:c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 t="str">
        <x:v>QUE-000176</x:v>
      </x:c>
      <x:c r="B177" s="26" t="str">
        <x:v>CFG-000027</x:v>
      </x:c>
      <x:c r="C177" s="26" t="str">
        <x:v>technical</x:v>
      </x:c>
      <x:c r="D177" s="26" t="str">
        <x:v>P0</x:v>
      </x:c>
      <x:c r="E177" s="26" t="str">
        <x:v>COMPLETE</x:v>
      </x:c>
      <x:c r="F177" s="26" t="str">
        <x:v>A1_OFFICIAL_MARKET</x:v>
      </x:c>
      <x:c r="G177" s="26" t="str">
        <x:v>WEB</x:v>
      </x:c>
      <x:c r="H177" s="26" t="n">
        <x:v>1</x:v>
      </x:c>
      <x:c r="I177" s="36" t="n">
        <x:v>46248</x:v>
      </x:c>
      <x:c r="J177" s="26" t="str">
        <x:v>FOUND</x:v>
      </x:c>
      <x:c r="K177" s="26" t="str">
        <x:v>SCALE_BATCH_01 stop condition; FOUND. Missing non-material fields remain explicit.</x:v>
      </x:c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 t="str">
        <x:v>QUE-000177</x:v>
      </x:c>
      <x:c r="B178" s="26" t="str">
        <x:v>CFG-000027</x:v>
      </x:c>
      <x:c r="C178" s="26" t="str">
        <x:v>efficiency_or_range</x:v>
      </x:c>
      <x:c r="D178" s="26" t="str">
        <x:v>P0</x:v>
      </x:c>
      <x:c r="E178" s="26" t="str">
        <x:v>COMPLETE</x:v>
      </x:c>
      <x:c r="F178" s="26" t="str">
        <x:v>A1_OFFICIAL_MARKET</x:v>
      </x:c>
      <x:c r="G178" s="26" t="str">
        <x:v>WEB</x:v>
      </x:c>
      <x:c r="H178" s="26" t="n">
        <x:v>1</x:v>
      </x:c>
      <x:c r="I178" s="36" t="n">
        <x:v>46248</x:v>
      </x:c>
      <x:c r="J178" s="26" t="str">
        <x:v>FOUND</x:v>
      </x:c>
      <x:c r="K178" s="26" t="str">
        <x:v>SCALE_BATCH_01 stop condition; FOUND. Missing non-material fields remain explicit.</x:v>
      </x:c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 t="str">
        <x:v>QUE-000178</x:v>
      </x:c>
      <x:c r="B179" s="26" t="str">
        <x:v>CFG-000027</x:v>
      </x:c>
      <x:c r="C179" s="26" t="str">
        <x:v>family_practicality</x:v>
      </x:c>
      <x:c r="D179" s="26" t="str">
        <x:v>P0</x:v>
      </x:c>
      <x:c r="E179" s="26" t="str">
        <x:v>COMPLETE</x:v>
      </x:c>
      <x:c r="F179" s="26" t="str">
        <x:v>A1_OFFICIAL_MARKET</x:v>
      </x:c>
      <x:c r="G179" s="26" t="str">
        <x:v>WEB</x:v>
      </x:c>
      <x:c r="H179" s="26" t="n">
        <x:v>1</x:v>
      </x:c>
      <x:c r="I179" s="36" t="n">
        <x:v>46248</x:v>
      </x:c>
      <x:c r="J179" s="26" t="str">
        <x:v>FOUND</x:v>
      </x:c>
      <x:c r="K179" s="26" t="str">
        <x:v>SCALE_BATCH_01 stop condition; FOUND. Missing non-material fields remain explicit.</x:v>
      </x:c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 t="str">
        <x:v>QUE-000179</x:v>
      </x:c>
      <x:c r="B180" s="26" t="str">
        <x:v>CFG-000027</x:v>
      </x:c>
      <x:c r="C180" s="26" t="str">
        <x:v>rough_road</x:v>
      </x:c>
      <x:c r="D180" s="26" t="str">
        <x:v>P0</x:v>
      </x:c>
      <x:c r="E180" s="26" t="str">
        <x:v>COMPLETE</x:v>
      </x:c>
      <x:c r="F180" s="26" t="str">
        <x:v>A1_OFFICIAL_MARKET</x:v>
      </x:c>
      <x:c r="G180" s="26" t="str">
        <x:v>WEB</x:v>
      </x:c>
      <x:c r="H180" s="26" t="n">
        <x:v>1</x:v>
      </x:c>
      <x:c r="I180" s="36" t="n">
        <x:v>46248</x:v>
      </x:c>
      <x:c r="J180" s="26" t="str">
        <x:v>NOT_FOUND</x:v>
      </x:c>
      <x:c r="K180" s="26" t="str">
        <x:v>SCALE_BATCH_01 stop condition; NOT_APPLICABLE. Missing non-material fields remain explicit.</x:v>
      </x:c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 t="str">
        <x:v>QUE-000180</x:v>
      </x:c>
      <x:c r="B181" s="26" t="str">
        <x:v>CFG-000027</x:v>
      </x:c>
      <x:c r="C181" s="26" t="str">
        <x:v>equipment</x:v>
      </x:c>
      <x:c r="D181" s="26" t="str">
        <x:v>P0</x:v>
      </x:c>
      <x:c r="E181" s="26" t="str">
        <x:v>COMPLETE</x:v>
      </x:c>
      <x:c r="F181" s="26" t="str">
        <x:v>A1_OFFICIAL_MARKET</x:v>
      </x:c>
      <x:c r="G181" s="26" t="str">
        <x:v>WEB</x:v>
      </x:c>
      <x:c r="H181" s="26" t="n">
        <x:v>1</x:v>
      </x:c>
      <x:c r="I181" s="36" t="n">
        <x:v>46248</x:v>
      </x:c>
      <x:c r="J181" s="26" t="str">
        <x:v>FOUND</x:v>
      </x:c>
      <x:c r="K181" s="26" t="str">
        <x:v>SCALE_BATCH_01 stop condition; FOUND. Missing non-material fields remain explicit.</x:v>
      </x:c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 t="str">
        <x:v>QUE-000181</x:v>
      </x:c>
      <x:c r="B182" s="26" t="str">
        <x:v>CFG-000027</x:v>
      </x:c>
      <x:c r="C182" s="26" t="str">
        <x:v>source_provenance</x:v>
      </x:c>
      <x:c r="D182" s="26" t="str">
        <x:v>P0</x:v>
      </x:c>
      <x:c r="E182" s="26" t="str">
        <x:v>COMPLETE</x:v>
      </x:c>
      <x:c r="F182" s="26" t="str">
        <x:v>A1_OFFICIAL_MARKET</x:v>
      </x:c>
      <x:c r="G182" s="26" t="str">
        <x:v>WEB</x:v>
      </x:c>
      <x:c r="H182" s="26" t="n">
        <x:v>1</x:v>
      </x:c>
      <x:c r="I182" s="36" t="n">
        <x:v>46248</x:v>
      </x:c>
      <x:c r="J182" s="26" t="str">
        <x:v>FOUND</x:v>
      </x:c>
      <x:c r="K182" s="26" t="str">
        <x:v>SCALE_BATCH_01 stop condition; FOUND. Missing non-material fields remain explicit.</x:v>
      </x:c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 t="str">
        <x:v>QUE-000182</x:v>
      </x:c>
      <x:c r="B183" s="26" t="str">
        <x:v>CFG-000028</x:v>
      </x:c>
      <x:c r="C183" s="26" t="str">
        <x:v>identity</x:v>
      </x:c>
      <x:c r="D183" s="26" t="str">
        <x:v>P0</x:v>
      </x:c>
      <x:c r="E183" s="26" t="str">
        <x:v>COMPLETE</x:v>
      </x:c>
      <x:c r="F183" s="26" t="str">
        <x:v>A1_OFFICIAL_MARKET</x:v>
      </x:c>
      <x:c r="G183" s="26" t="str">
        <x:v>WEB</x:v>
      </x:c>
      <x:c r="H183" s="26" t="n">
        <x:v>1</x:v>
      </x:c>
      <x:c r="I183" s="36" t="n">
        <x:v>46248</x:v>
      </x:c>
      <x:c r="J183" s="26" t="str">
        <x:v>FOUND</x:v>
      </x:c>
      <x:c r="K183" s="26" t="str">
        <x:v>SCALE_BATCH_01 stop condition; FOUND. Missing non-material fields remain explicit.</x:v>
      </x:c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 t="str">
        <x:v>QUE-000183</x:v>
      </x:c>
      <x:c r="B184" s="26" t="str">
        <x:v>CFG-000028</x:v>
      </x:c>
      <x:c r="C184" s="26" t="str">
        <x:v>technical</x:v>
      </x:c>
      <x:c r="D184" s="26" t="str">
        <x:v>P0</x:v>
      </x:c>
      <x:c r="E184" s="26" t="str">
        <x:v>COMPLETE</x:v>
      </x:c>
      <x:c r="F184" s="26" t="str">
        <x:v>A1_OFFICIAL_MARKET</x:v>
      </x:c>
      <x:c r="G184" s="26" t="str">
        <x:v>WEB</x:v>
      </x:c>
      <x:c r="H184" s="26" t="n">
        <x:v>1</x:v>
      </x:c>
      <x:c r="I184" s="36" t="n">
        <x:v>46248</x:v>
      </x:c>
      <x:c r="J184" s="26" t="str">
        <x:v>FOUND</x:v>
      </x:c>
      <x:c r="K184" s="26" t="str">
        <x:v>SCALE_BATCH_01 stop condition; FOUND. Missing non-material fields remain explicit.</x:v>
      </x:c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 t="str">
        <x:v>QUE-000184</x:v>
      </x:c>
      <x:c r="B185" s="26" t="str">
        <x:v>CFG-000028</x:v>
      </x:c>
      <x:c r="C185" s="26" t="str">
        <x:v>efficiency_or_range</x:v>
      </x:c>
      <x:c r="D185" s="26" t="str">
        <x:v>P0</x:v>
      </x:c>
      <x:c r="E185" s="26" t="str">
        <x:v>COMPLETE</x:v>
      </x:c>
      <x:c r="F185" s="26" t="str">
        <x:v>A1_OFFICIAL_MARKET</x:v>
      </x:c>
      <x:c r="G185" s="26" t="str">
        <x:v>WEB</x:v>
      </x:c>
      <x:c r="H185" s="26" t="n">
        <x:v>1</x:v>
      </x:c>
      <x:c r="I185" s="36" t="n">
        <x:v>46248</x:v>
      </x:c>
      <x:c r="J185" s="26" t="str">
        <x:v>FOUND</x:v>
      </x:c>
      <x:c r="K185" s="26" t="str">
        <x:v>SCALE_BATCH_01 stop condition; FOUND. Missing non-material fields remain explicit.</x:v>
      </x:c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 t="str">
        <x:v>QUE-000185</x:v>
      </x:c>
      <x:c r="B186" s="26" t="str">
        <x:v>CFG-000028</x:v>
      </x:c>
      <x:c r="C186" s="26" t="str">
        <x:v>family_practicality</x:v>
      </x:c>
      <x:c r="D186" s="26" t="str">
        <x:v>P0</x:v>
      </x:c>
      <x:c r="E186" s="26" t="str">
        <x:v>COMPLETE</x:v>
      </x:c>
      <x:c r="F186" s="26" t="str">
        <x:v>A1_OFFICIAL_MARKET</x:v>
      </x:c>
      <x:c r="G186" s="26" t="str">
        <x:v>WEB</x:v>
      </x:c>
      <x:c r="H186" s="26" t="n">
        <x:v>1</x:v>
      </x:c>
      <x:c r="I186" s="36" t="n">
        <x:v>46248</x:v>
      </x:c>
      <x:c r="J186" s="26" t="str">
        <x:v>FOUND</x:v>
      </x:c>
      <x:c r="K186" s="26" t="str">
        <x:v>SCALE_BATCH_01 stop condition; FOUND. Missing non-material fields remain explicit.</x:v>
      </x:c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 t="str">
        <x:v>QUE-000186</x:v>
      </x:c>
      <x:c r="B187" s="26" t="str">
        <x:v>CFG-000028</x:v>
      </x:c>
      <x:c r="C187" s="26" t="str">
        <x:v>rough_road</x:v>
      </x:c>
      <x:c r="D187" s="26" t="str">
        <x:v>P0</x:v>
      </x:c>
      <x:c r="E187" s="26" t="str">
        <x:v>COMPLETE</x:v>
      </x:c>
      <x:c r="F187" s="26" t="str">
        <x:v>A1_OFFICIAL_MARKET</x:v>
      </x:c>
      <x:c r="G187" s="26" t="str">
        <x:v>WEB</x:v>
      </x:c>
      <x:c r="H187" s="26" t="n">
        <x:v>1</x:v>
      </x:c>
      <x:c r="I187" s="36" t="n">
        <x:v>46248</x:v>
      </x:c>
      <x:c r="J187" s="26" t="str">
        <x:v>FOUND</x:v>
      </x:c>
      <x:c r="K187" s="26" t="str">
        <x:v>SCALE_BATCH_01 stop condition; FOUND. Missing non-material fields remain explicit.</x:v>
      </x:c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 t="str">
        <x:v>QUE-000187</x:v>
      </x:c>
      <x:c r="B188" s="26" t="str">
        <x:v>CFG-000028</x:v>
      </x:c>
      <x:c r="C188" s="26" t="str">
        <x:v>equipment</x:v>
      </x:c>
      <x:c r="D188" s="26" t="str">
        <x:v>P0</x:v>
      </x:c>
      <x:c r="E188" s="26" t="str">
        <x:v>COMPLETE</x:v>
      </x:c>
      <x:c r="F188" s="26" t="str">
        <x:v>A1_OFFICIAL_MARKET</x:v>
      </x:c>
      <x:c r="G188" s="26" t="str">
        <x:v>WEB</x:v>
      </x:c>
      <x:c r="H188" s="26" t="n">
        <x:v>1</x:v>
      </x:c>
      <x:c r="I188" s="36" t="n">
        <x:v>46248</x:v>
      </x:c>
      <x:c r="J188" s="26" t="str">
        <x:v>FOUND</x:v>
      </x:c>
      <x:c r="K188" s="26" t="str">
        <x:v>SCALE_BATCH_01 stop condition; FOUND. Missing non-material fields remain explicit.</x:v>
      </x:c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 t="str">
        <x:v>QUE-000188</x:v>
      </x:c>
      <x:c r="B189" s="26" t="str">
        <x:v>CFG-000028</x:v>
      </x:c>
      <x:c r="C189" s="26" t="str">
        <x:v>source_provenance</x:v>
      </x:c>
      <x:c r="D189" s="26" t="str">
        <x:v>P0</x:v>
      </x:c>
      <x:c r="E189" s="26" t="str">
        <x:v>COMPLETE</x:v>
      </x:c>
      <x:c r="F189" s="26" t="str">
        <x:v>A1_OFFICIAL_MARKET</x:v>
      </x:c>
      <x:c r="G189" s="26" t="str">
        <x:v>WEB</x:v>
      </x:c>
      <x:c r="H189" s="26" t="n">
        <x:v>1</x:v>
      </x:c>
      <x:c r="I189" s="36" t="n">
        <x:v>46248</x:v>
      </x:c>
      <x:c r="J189" s="26" t="str">
        <x:v>FOUND</x:v>
      </x:c>
      <x:c r="K189" s="26" t="str">
        <x:v>SCALE_BATCH_01 stop condition; FOUND. Missing non-material fields remain explicit.</x:v>
      </x:c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 t="str">
        <x:v>QUE-000189</x:v>
      </x:c>
      <x:c r="B190" s="26" t="str">
        <x:v>CFG-000029</x:v>
      </x:c>
      <x:c r="C190" s="26" t="str">
        <x:v>identity</x:v>
      </x:c>
      <x:c r="D190" s="26" t="str">
        <x:v>P0</x:v>
      </x:c>
      <x:c r="E190" s="26" t="str">
        <x:v>COMPLETE</x:v>
      </x:c>
      <x:c r="F190" s="26" t="str">
        <x:v>A1_OFFICIAL_MARKET</x:v>
      </x:c>
      <x:c r="G190" s="26" t="str">
        <x:v>WEB</x:v>
      </x:c>
      <x:c r="H190" s="26" t="n">
        <x:v>1</x:v>
      </x:c>
      <x:c r="I190" s="36" t="n">
        <x:v>46248</x:v>
      </x:c>
      <x:c r="J190" s="26" t="str">
        <x:v>FOUND</x:v>
      </x:c>
      <x:c r="K190" s="26" t="str">
        <x:v>SCALE_BATCH_01 stop condition; FOUND. Missing non-material fields remain explicit.</x:v>
      </x:c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 t="str">
        <x:v>QUE-000190</x:v>
      </x:c>
      <x:c r="B191" s="26" t="str">
        <x:v>CFG-000029</x:v>
      </x:c>
      <x:c r="C191" s="26" t="str">
        <x:v>technical</x:v>
      </x:c>
      <x:c r="D191" s="26" t="str">
        <x:v>P0</x:v>
      </x:c>
      <x:c r="E191" s="26" t="str">
        <x:v>COMPLETE</x:v>
      </x:c>
      <x:c r="F191" s="26" t="str">
        <x:v>A1_OFFICIAL_MARKET</x:v>
      </x:c>
      <x:c r="G191" s="26" t="str">
        <x:v>WEB</x:v>
      </x:c>
      <x:c r="H191" s="26" t="n">
        <x:v>1</x:v>
      </x:c>
      <x:c r="I191" s="36" t="n">
        <x:v>46248</x:v>
      </x:c>
      <x:c r="J191" s="26" t="str">
        <x:v>FOUND</x:v>
      </x:c>
      <x:c r="K191" s="26" t="str">
        <x:v>SCALE_BATCH_01 stop condition; FOUND. Missing non-material fields remain explicit.</x:v>
      </x:c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 t="str">
        <x:v>QUE-000191</x:v>
      </x:c>
      <x:c r="B192" s="26" t="str">
        <x:v>CFG-000029</x:v>
      </x:c>
      <x:c r="C192" s="26" t="str">
        <x:v>efficiency_or_range</x:v>
      </x:c>
      <x:c r="D192" s="26" t="str">
        <x:v>P0</x:v>
      </x:c>
      <x:c r="E192" s="26" t="str">
        <x:v>COMPLETE</x:v>
      </x:c>
      <x:c r="F192" s="26" t="str">
        <x:v>A1_OFFICIAL_MARKET</x:v>
      </x:c>
      <x:c r="G192" s="26" t="str">
        <x:v>WEB</x:v>
      </x:c>
      <x:c r="H192" s="26" t="n">
        <x:v>1</x:v>
      </x:c>
      <x:c r="I192" s="36" t="n">
        <x:v>46248</x:v>
      </x:c>
      <x:c r="J192" s="26" t="str">
        <x:v>FOUND</x:v>
      </x:c>
      <x:c r="K192" s="26" t="str">
        <x:v>SCALE_BATCH_01 stop condition; FOUND. Missing non-material fields remain explicit.</x:v>
      </x:c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 t="str">
        <x:v>QUE-000192</x:v>
      </x:c>
      <x:c r="B193" s="26" t="str">
        <x:v>CFG-000029</x:v>
      </x:c>
      <x:c r="C193" s="26" t="str">
        <x:v>family_practicality</x:v>
      </x:c>
      <x:c r="D193" s="26" t="str">
        <x:v>P0</x:v>
      </x:c>
      <x:c r="E193" s="26" t="str">
        <x:v>COMPLETE</x:v>
      </x:c>
      <x:c r="F193" s="26" t="str">
        <x:v>A1_OFFICIAL_MARKET</x:v>
      </x:c>
      <x:c r="G193" s="26" t="str">
        <x:v>WEB</x:v>
      </x:c>
      <x:c r="H193" s="26" t="n">
        <x:v>1</x:v>
      </x:c>
      <x:c r="I193" s="36" t="n">
        <x:v>46248</x:v>
      </x:c>
      <x:c r="J193" s="26" t="str">
        <x:v>FOUND</x:v>
      </x:c>
      <x:c r="K193" s="26" t="str">
        <x:v>SCALE_BATCH_01 stop condition; FOUND. Missing non-material fields remain explicit.</x:v>
      </x:c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 t="str">
        <x:v>QUE-000193</x:v>
      </x:c>
      <x:c r="B194" s="26" t="str">
        <x:v>CFG-000029</x:v>
      </x:c>
      <x:c r="C194" s="26" t="str">
        <x:v>rough_road</x:v>
      </x:c>
      <x:c r="D194" s="26" t="str">
        <x:v>P0</x:v>
      </x:c>
      <x:c r="E194" s="26" t="str">
        <x:v>COMPLETE</x:v>
      </x:c>
      <x:c r="F194" s="26" t="str">
        <x:v>A1_OFFICIAL_MARKET</x:v>
      </x:c>
      <x:c r="G194" s="26" t="str">
        <x:v>WEB</x:v>
      </x:c>
      <x:c r="H194" s="26" t="n">
        <x:v>1</x:v>
      </x:c>
      <x:c r="I194" s="36" t="n">
        <x:v>46248</x:v>
      </x:c>
      <x:c r="J194" s="26" t="str">
        <x:v>NOT_FOUND</x:v>
      </x:c>
      <x:c r="K194" s="26" t="str">
        <x:v>SCALE_BATCH_01 stop condition; NOT_APPLICABLE. Missing non-material fields remain explicit.</x:v>
      </x:c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 t="str">
        <x:v>QUE-000194</x:v>
      </x:c>
      <x:c r="B195" s="26" t="str">
        <x:v>CFG-000029</x:v>
      </x:c>
      <x:c r="C195" s="26" t="str">
        <x:v>equipment</x:v>
      </x:c>
      <x:c r="D195" s="26" t="str">
        <x:v>P0</x:v>
      </x:c>
      <x:c r="E195" s="26" t="str">
        <x:v>COMPLETE</x:v>
      </x:c>
      <x:c r="F195" s="26" t="str">
        <x:v>A1_OFFICIAL_MARKET</x:v>
      </x:c>
      <x:c r="G195" s="26" t="str">
        <x:v>WEB</x:v>
      </x:c>
      <x:c r="H195" s="26" t="n">
        <x:v>1</x:v>
      </x:c>
      <x:c r="I195" s="36" t="n">
        <x:v>46248</x:v>
      </x:c>
      <x:c r="J195" s="26" t="str">
        <x:v>FOUND</x:v>
      </x:c>
      <x:c r="K195" s="26" t="str">
        <x:v>SCALE_BATCH_01 stop condition; FOUND. Missing non-material fields remain explicit.</x:v>
      </x:c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 t="str">
        <x:v>QUE-000195</x:v>
      </x:c>
      <x:c r="B196" s="26" t="str">
        <x:v>CFG-000029</x:v>
      </x:c>
      <x:c r="C196" s="26" t="str">
        <x:v>source_provenance</x:v>
      </x:c>
      <x:c r="D196" s="26" t="str">
        <x:v>P0</x:v>
      </x:c>
      <x:c r="E196" s="26" t="str">
        <x:v>COMPLETE</x:v>
      </x:c>
      <x:c r="F196" s="26" t="str">
        <x:v>A1_OFFICIAL_MARKET</x:v>
      </x:c>
      <x:c r="G196" s="26" t="str">
        <x:v>WEB</x:v>
      </x:c>
      <x:c r="H196" s="26" t="n">
        <x:v>1</x:v>
      </x:c>
      <x:c r="I196" s="36" t="n">
        <x:v>46248</x:v>
      </x:c>
      <x:c r="J196" s="26" t="str">
        <x:v>FOUND</x:v>
      </x:c>
      <x:c r="K196" s="26" t="str">
        <x:v>SCALE_BATCH_01 stop condition; FOUND. Missing non-material fields remain explicit.</x:v>
      </x:c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3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3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3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3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3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3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3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3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3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3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3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3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3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3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3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3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3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3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3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3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3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3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3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3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3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3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3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3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3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3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3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3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3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3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3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3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3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3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3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3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3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3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3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3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3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3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3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3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3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3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3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3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3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3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3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3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3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3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3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3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3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3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3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3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3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3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3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3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3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3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3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3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3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3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3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3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3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3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3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3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3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3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3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3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3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3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3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3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3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3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3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3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3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3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3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3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3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3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3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3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3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3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3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3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3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3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3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3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3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3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3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3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3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3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3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3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3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3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3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3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3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3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3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3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3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3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3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3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3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3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3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3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3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3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3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3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3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3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3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3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3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3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3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3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3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3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3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3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3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3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3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3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3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3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3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3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3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3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3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3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3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3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3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3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3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3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3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3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3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3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3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3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3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3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3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3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3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3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3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3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3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3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3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3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3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3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3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3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3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3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3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3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3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3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3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3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3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3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3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3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3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3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3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3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3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3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3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3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3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3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3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3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3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3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3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3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3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3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3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3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3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3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3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3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3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3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3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3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3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3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3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3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3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3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3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3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3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3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3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3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3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3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3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3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3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3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3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3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3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3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3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3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3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3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3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3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3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3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3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3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3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3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3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3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3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3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3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3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3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3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3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3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3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3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3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3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3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3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3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3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3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3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3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3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3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3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3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3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3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3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3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3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3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3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3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3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3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3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3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5">
    <x:dataValidation type="list" sqref="D2:D500">
      <x:formula1>'12_LISTS'!$B$134:$B$136</x:formula1>
    </x:dataValidation>
    <x:dataValidation type="list" sqref="E2:E500">
      <x:formula1>'12_LISTS'!$B$137:$B$141</x:formula1>
    </x:dataValidation>
    <x:dataValidation type="list" sqref="F2:F500">
      <x:formula1>'12_LISTS'!$B$142:$B$146</x:formula1>
    </x:dataValidation>
    <x:dataValidation type="list" sqref="G2:G500">
      <x:formula1>'12_LISTS'!$B$147:$B$150</x:formula1>
    </x:dataValidation>
    <x:dataValidation type="list" sqref="J2:J500">
      <x:formula1>'12_LISTS'!$B$151:$B$155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cf6bcc496d475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30" hidden="0" customWidth="1"/>
    <x:col min="10" max="10" width="55" hidden="0" customWidth="1"/>
  </x:cols>
  <x:sheetData>
    <x:row r="1">
      <x:c r="A1" s="6" t="str">
        <x:v>sheet</x:v>
      </x:c>
      <x:c r="B1" s="6" t="str">
        <x:v>field_key</x:v>
      </x:c>
      <x:c r="C1" s="6" t="str">
        <x:v>description</x:v>
      </x:c>
      <x:c r="D1" s="6" t="str">
        <x:v>data_type</x:v>
      </x:c>
      <x:c r="E1" s="6" t="str">
        <x:v>requirement</x:v>
      </x:c>
      <x:c r="F1" s="6" t="str">
        <x:v>canonical_unit</x:v>
      </x:c>
      <x:c r="G1" s="6" t="str">
        <x:v>scope</x:v>
      </x:c>
      <x:c r="H1" s="6" t="str">
        <x:v>allowed_values_or_rule</x:v>
      </x:c>
      <x:c r="I1" s="6" t="str">
        <x:v>example</x:v>
      </x:c>
      <x:c r="J1" s="6" t="str">
        <x:v>migration_note</x:v>
      </x:c>
    </x:row>
    <x:row r="2">
      <x:c r="A2" s="26" t="str">
        <x:v>01_VEHICLE_MODELS</x:v>
      </x:c>
      <x:c r="B2" s="26" t="str">
        <x:v>model_id</x:v>
      </x:c>
      <x:c r="C2" s="26" t="str">
        <x:v>Immutable Expiya model-family ID.</x:v>
      </x:c>
      <x:c r="D2" s="26" t="str">
        <x:v>ID</x:v>
      </x:c>
      <x:c r="E2" s="26" t="str">
        <x:v>MUST</x:v>
      </x:c>
      <x:c r="F2" s="26" t="str"/>
      <x:c r="G2" s="26" t="str">
        <x:v>MODEL</x:v>
      </x:c>
      <x:c r="H2" s="26" t="str"/>
      <x:c r="I2" s="26" t="str">
        <x:v>MOD-000001</x:v>
      </x:c>
      <x:c r="J2" s="26" t="str">
        <x:v>Generated; preserve legacy trace separately.</x:v>
      </x:c>
    </x:row>
    <x:row r="3">
      <x:c r="A3" s="26" t="str">
        <x:v>01_VEHICLE_MODELS</x:v>
      </x:c>
      <x:c r="B3" s="26" t="str">
        <x:v>brand</x:v>
      </x:c>
      <x:c r="C3" s="26" t="str">
        <x:v>Manufacturer / brand display name.</x:v>
      </x:c>
      <x:c r="D3" s="26" t="str">
        <x:v>TEXT</x:v>
      </x:c>
      <x:c r="E3" s="26" t="str">
        <x:v>MUST</x:v>
      </x:c>
      <x:c r="F3" s="26" t="str"/>
      <x:c r="G3" s="26" t="str">
        <x:v>MODEL</x:v>
      </x:c>
      <x:c r="H3" s="26" t="str"/>
      <x:c r="I3" s="26" t="str">
        <x:v>Suzuki</x:v>
      </x:c>
      <x:c r="J3" s="26" t="str">
        <x:v>Map from v0.3 Marka.</x:v>
      </x:c>
    </x:row>
    <x:row r="4">
      <x:c r="A4" s="26" t="str">
        <x:v>01_VEHICLE_MODELS</x:v>
      </x:c>
      <x:c r="B4" s="26" t="str">
        <x:v>model_name</x:v>
      </x:c>
      <x:c r="C4" s="26" t="str">
        <x:v>Commercial model-family name.</x:v>
      </x:c>
      <x:c r="D4" s="26" t="str">
        <x:v>TEXT</x:v>
      </x:c>
      <x:c r="E4" s="26" t="str">
        <x:v>MUST</x:v>
      </x:c>
      <x:c r="F4" s="26" t="str"/>
      <x:c r="G4" s="26" t="str">
        <x:v>MODEL</x:v>
      </x:c>
      <x:c r="H4" s="26" t="str"/>
      <x:c r="I4" s="26" t="str">
        <x:v>Vitara</x:v>
      </x:c>
      <x:c r="J4" s="26" t="str">
        <x:v>Map from v0.3 Model.</x:v>
      </x:c>
    </x:row>
    <x:row r="5">
      <x:c r="A5" s="26" t="str">
        <x:v>01_VEHICLE_MODELS</x:v>
      </x:c>
      <x:c r="B5" s="26" t="str">
        <x:v>body_family</x:v>
      </x:c>
      <x:c r="C5" s="26" t="str">
        <x:v>Canonical body family.</x:v>
      </x:c>
      <x:c r="D5" s="26" t="str">
        <x:v>ENUM</x:v>
      </x:c>
      <x:c r="E5" s="26" t="str">
        <x:v>MUST</x:v>
      </x:c>
      <x:c r="F5" s="26" t="str"/>
      <x:c r="G5" s="26" t="str">
        <x:v>MODEL</x:v>
      </x:c>
      <x:c r="H5" s="26" t="str">
        <x:v>BODY_FAMILY</x:v>
      </x:c>
      <x:c r="I5" s="26" t="str">
        <x:v>SUV</x:v>
      </x:c>
      <x:c r="J5" s="26" t="str">
        <x:v>v0.3 Kasa Tipi is candidate.</x:v>
      </x:c>
    </x:row>
    <x:row r="6">
      <x:c r="A6" s="26" t="str">
        <x:v>01_VEHICLE_MODELS</x:v>
      </x:c>
      <x:c r="B6" s="26" t="str">
        <x:v>market_relevance_tr</x:v>
      </x:c>
      <x:c r="C6" s="26" t="str">
        <x:v>Turkey relevance gate.</x:v>
      </x:c>
      <x:c r="D6" s="26" t="str">
        <x:v>ENUM</x:v>
      </x:c>
      <x:c r="E6" s="26" t="str">
        <x:v>MUST</x:v>
      </x:c>
      <x:c r="F6" s="26" t="str"/>
      <x:c r="G6" s="26" t="str">
        <x:v>MODEL</x:v>
      </x:c>
      <x:c r="H6" s="26" t="str">
        <x:v>MARKET_RELEVANCE_TR</x:v>
      </x:c>
      <x:c r="I6" s="26" t="str">
        <x:v>CURRENT</x:v>
      </x:c>
      <x:c r="J6" s="26" t="str">
        <x:v>Resolve during pilot.</x:v>
      </x:c>
    </x:row>
    <x:row r="7">
      <x:c r="A7" s="26" t="str">
        <x:v>01_VEHICLE_MODELS</x:v>
      </x:c>
      <x:c r="B7" s="26" t="str">
        <x:v>source_catalog_status</x:v>
      </x:c>
      <x:c r="C7" s="26" t="str">
        <x:v>Legacy discovery provenance class.</x:v>
      </x:c>
      <x:c r="D7" s="26" t="str">
        <x:v>ENUM</x:v>
      </x:c>
      <x:c r="E7" s="26" t="str">
        <x:v>MUST</x:v>
      </x:c>
      <x:c r="F7" s="26" t="str"/>
      <x:c r="G7" s="26" t="str">
        <x:v>MODEL</x:v>
      </x:c>
      <x:c r="H7" s="26" t="str">
        <x:v>SOURCE_CATALOG_STATUS</x:v>
      </x:c>
      <x:c r="I7" s="26" t="str">
        <x:v>RESMI_KAYNAKTAN_DERLENDI</x:v>
      </x:c>
      <x:c r="J7" s="26" t="str">
        <x:v>Not fact-level authority.</x:v>
      </x:c>
    </x:row>
    <x:row r="8">
      <x:c r="A8" s="26" t="str">
        <x:v>01_VEHICLE_MODELS</x:v>
      </x:c>
      <x:c r="B8" s="26" t="str">
        <x:v>legacy_source_id</x:v>
      </x:c>
      <x:c r="C8" s="26" t="str">
        <x:v>Reference to v0.3 record identity.</x:v>
      </x:c>
      <x:c r="D8" s="26" t="str">
        <x:v>TEXT</x:v>
      </x:c>
      <x:c r="E8" s="26" t="str">
        <x:v>SHOULD</x:v>
      </x:c>
      <x:c r="F8" s="26" t="str"/>
      <x:c r="G8" s="26" t="str">
        <x:v>MODEL</x:v>
      </x:c>
      <x:c r="H8" s="26" t="str"/>
      <x:c r="I8" s="26" t="str">
        <x:v>legacy-row-12</x:v>
      </x:c>
      <x:c r="J8" s="26" t="str"/>
    </x:row>
    <x:row r="9">
      <x:c r="A9" s="26" t="str">
        <x:v>01_VEHICLE_MODELS</x:v>
      </x:c>
      <x:c r="B9" s="26" t="str">
        <x:v>notes</x:v>
      </x:c>
      <x:c r="C9" s="26" t="str">
        <x:v>Free-text notes, never authoritative evidence.</x:v>
      </x:c>
      <x:c r="D9" s="26" t="str">
        <x:v>TEXT</x:v>
      </x:c>
      <x:c r="E9" s="26" t="str">
        <x:v>NICE_TO_HAVE</x:v>
      </x:c>
      <x:c r="F9" s="26" t="str"/>
      <x:c r="G9" s="26" t="str">
        <x:v>MODEL</x:v>
      </x:c>
      <x:c r="H9" s="26" t="str"/>
      <x:c r="I9" s="26" t="str"/>
      <x:c r="J9" s="26" t="str"/>
    </x:row>
    <x:row r="10">
      <x:c r="A10" s="26" t="str">
        <x:v>02_GENERATIONS</x:v>
      </x:c>
      <x:c r="B10" s="26" t="str">
        <x:v>generation_id</x:v>
      </x:c>
      <x:c r="C10" s="26" t="str">
        <x:v>Immutable generation ID.</x:v>
      </x:c>
      <x:c r="D10" s="26" t="str">
        <x:v>ID</x:v>
      </x:c>
      <x:c r="E10" s="26" t="str">
        <x:v>MUST</x:v>
      </x:c>
      <x:c r="F10" s="26" t="str"/>
      <x:c r="G10" s="26" t="str">
        <x:v>GENERATION</x:v>
      </x:c>
      <x:c r="H10" s="26" t="str"/>
      <x:c r="I10" s="26" t="str">
        <x:v>GEN-000001</x:v>
      </x:c>
      <x:c r="J10" s="26" t="str"/>
    </x:row>
    <x:row r="11">
      <x:c r="A11" s="26" t="str">
        <x:v>02_GENERATIONS</x:v>
      </x:c>
      <x:c r="B11" s="26" t="str">
        <x:v>model_id</x:v>
      </x:c>
      <x:c r="C11" s="26" t="str">
        <x:v>FK to model.</x:v>
      </x:c>
      <x:c r="D11" s="26" t="str">
        <x:v>FK</x:v>
      </x:c>
      <x:c r="E11" s="26" t="str">
        <x:v>MUST</x:v>
      </x:c>
      <x:c r="F11" s="26" t="str"/>
      <x:c r="G11" s="26" t="str">
        <x:v>GENERATION</x:v>
      </x:c>
      <x:c r="H11" s="26" t="str"/>
      <x:c r="I11" s="26" t="str">
        <x:v>MOD-000001</x:v>
      </x:c>
      <x:c r="J11" s="26" t="str"/>
    </x:row>
    <x:row r="12">
      <x:c r="A12" s="26" t="str">
        <x:v>02_GENERATIONS</x:v>
      </x:c>
      <x:c r="B12" s="26" t="str">
        <x:v>generation_name</x:v>
      </x:c>
      <x:c r="C12" s="26" t="str">
        <x:v>Human-readable generation label.</x:v>
      </x:c>
      <x:c r="D12" s="26" t="str">
        <x:v>TEXT</x:v>
      </x:c>
      <x:c r="E12" s="26" t="str">
        <x:v>SHOULD</x:v>
      </x:c>
      <x:c r="F12" s="26" t="str"/>
      <x:c r="G12" s="26" t="str">
        <x:v>GENERATION</x:v>
      </x:c>
      <x:c r="H12" s="26" t="str"/>
      <x:c r="I12" s="26" t="str">
        <x:v>4th Gen</x:v>
      </x:c>
      <x:c r="J12" s="26" t="str">
        <x:v>Do not invent.</x:v>
      </x:c>
    </x:row>
    <x:row r="13">
      <x:c r="A13" s="26" t="str">
        <x:v>02_GENERATIONS</x:v>
      </x:c>
      <x:c r="B13" s="26" t="str">
        <x:v>generation_code</x:v>
      </x:c>
      <x:c r="C13" s="26" t="str">
        <x:v>Manufacturer/platform code.</x:v>
      </x:c>
      <x:c r="D13" s="26" t="str">
        <x:v>TEXT</x:v>
      </x:c>
      <x:c r="E13" s="26" t="str">
        <x:v>NICE_TO_HAVE</x:v>
      </x:c>
      <x:c r="F13" s="26" t="str"/>
      <x:c r="G13" s="26" t="str">
        <x:v>GENERATION</x:v>
      </x:c>
      <x:c r="H13" s="26" t="str"/>
      <x:c r="I13" s="26" t="str">
        <x:v>LY</x:v>
      </x:c>
      <x:c r="J13" s="26" t="str"/>
    </x:row>
    <x:row r="14">
      <x:c r="A14" s="26" t="str">
        <x:v>02_GENERATIONS</x:v>
      </x:c>
      <x:c r="B14" s="26" t="str">
        <x:v>facelift_status</x:v>
      </x:c>
      <x:c r="C14" s="26" t="str">
        <x:v>Generation phase.</x:v>
      </x:c>
      <x:c r="D14" s="26" t="str">
        <x:v>ENUM</x:v>
      </x:c>
      <x:c r="E14" s="26" t="str">
        <x:v>SHOULD</x:v>
      </x:c>
      <x:c r="F14" s="26" t="str"/>
      <x:c r="G14" s="26" t="str">
        <x:v>GENERATION</x:v>
      </x:c>
      <x:c r="H14" s="26" t="str">
        <x:v>FACELIFT_STATUS</x:v>
      </x:c>
      <x:c r="I14" s="26" t="str">
        <x:v>FACELIFT</x:v>
      </x:c>
      <x:c r="J14" s="26" t="str"/>
    </x:row>
    <x:row r="15">
      <x:c r="A15" s="26" t="str">
        <x:v>02_GENERATIONS</x:v>
      </x:c>
      <x:c r="B15" s="26" t="str">
        <x:v>production_start_year</x:v>
      </x:c>
      <x:c r="C15" s="26" t="str">
        <x:v>Global production start year.</x:v>
      </x:c>
      <x:c r="D15" s="26" t="str">
        <x:v>INTEGER</x:v>
      </x:c>
      <x:c r="E15" s="26" t="str">
        <x:v>SHOULD</x:v>
      </x:c>
      <x:c r="F15" s="26" t="str"/>
      <x:c r="G15" s="26" t="str">
        <x:v>GENERATION</x:v>
      </x:c>
      <x:c r="H15" s="26" t="str"/>
      <x:c r="I15" s="26" t="n">
        <x:v>2024</x:v>
      </x:c>
      <x:c r="J15" s="26" t="str">
        <x:v>Legacy year is candidate.</x:v>
      </x:c>
    </x:row>
    <x:row r="16">
      <x:c r="A16" s="26" t="str">
        <x:v>02_GENERATIONS</x:v>
      </x:c>
      <x:c r="B16" s="26" t="str">
        <x:v>production_end_year</x:v>
      </x:c>
      <x:c r="C16" s="26" t="str">
        <x:v>Global production end year.</x:v>
      </x:c>
      <x:c r="D16" s="26" t="str">
        <x:v>INTEGER</x:v>
      </x:c>
      <x:c r="E16" s="26" t="str">
        <x:v>SHOULD</x:v>
      </x:c>
      <x:c r="F16" s="26" t="str"/>
      <x:c r="G16" s="26" t="str">
        <x:v>GENERATION</x:v>
      </x:c>
      <x:c r="H16" s="26" t="str"/>
      <x:c r="I16" s="26" t="str"/>
      <x:c r="J16" s="26" t="str"/>
    </x:row>
    <x:row r="17">
      <x:c r="A17" s="26" t="str">
        <x:v>02_GENERATIONS</x:v>
      </x:c>
      <x:c r="B17" s="26" t="str">
        <x:v>market_start_year_tr</x:v>
      </x:c>
      <x:c r="C17" s="26" t="str">
        <x:v>Turkey market start year.</x:v>
      </x:c>
      <x:c r="D17" s="26" t="str">
        <x:v>INTEGER</x:v>
      </x:c>
      <x:c r="E17" s="26" t="str">
        <x:v>SHOULD</x:v>
      </x:c>
      <x:c r="F17" s="26" t="str"/>
      <x:c r="G17" s="26" t="str">
        <x:v>GENERATION</x:v>
      </x:c>
      <x:c r="H17" s="26" t="str"/>
      <x:c r="I17" s="26" t="n">
        <x:v>2025</x:v>
      </x:c>
      <x:c r="J17" s="26" t="str"/>
    </x:row>
    <x:row r="18">
      <x:c r="A18" s="26" t="str">
        <x:v>02_GENERATIONS</x:v>
      </x:c>
      <x:c r="B18" s="26" t="str">
        <x:v>market_end_year_tr</x:v>
      </x:c>
      <x:c r="C18" s="26" t="str">
        <x:v>Turkey market end year.</x:v>
      </x:c>
      <x:c r="D18" s="26" t="str">
        <x:v>INTEGER</x:v>
      </x:c>
      <x:c r="E18" s="26" t="str">
        <x:v>SHOULD</x:v>
      </x:c>
      <x:c r="F18" s="26" t="str"/>
      <x:c r="G18" s="26" t="str">
        <x:v>GENERATION</x:v>
      </x:c>
      <x:c r="H18" s="26" t="str"/>
      <x:c r="I18" s="26" t="str"/>
      <x:c r="J18" s="26" t="str"/>
    </x:row>
    <x:row r="19">
      <x:c r="A19" s="26" t="str">
        <x:v>02_GENERATIONS</x:v>
      </x:c>
      <x:c r="B19" s="26" t="str">
        <x:v>identity_status</x:v>
      </x:c>
      <x:c r="C19" s="26" t="str">
        <x:v>Identity resolution state.</x:v>
      </x:c>
      <x:c r="D19" s="26" t="str">
        <x:v>ENUM</x:v>
      </x:c>
      <x:c r="E19" s="26" t="str">
        <x:v>MUST</x:v>
      </x:c>
      <x:c r="F19" s="26" t="str"/>
      <x:c r="G19" s="26" t="str">
        <x:v>GENERATION</x:v>
      </x:c>
      <x:c r="H19" s="26" t="str">
        <x:v>IDENTITY_STATUS</x:v>
      </x:c>
      <x:c r="I19" s="26" t="str">
        <x:v>VERIFIED</x:v>
      </x:c>
      <x:c r="J19" s="26" t="str"/>
    </x:row>
    <x:row r="20">
      <x:c r="A20" s="26" t="str">
        <x:v>02_GENERATIONS</x:v>
      </x:c>
      <x:c r="B20" s="26" t="str">
        <x:v>legacy_source_id</x:v>
      </x:c>
      <x:c r="C20" s="26" t="str">
        <x:v>Legacy traceability.</x:v>
      </x:c>
      <x:c r="D20" s="26" t="str">
        <x:v>TEXT</x:v>
      </x:c>
      <x:c r="E20" s="26" t="str">
        <x:v>SHOULD</x:v>
      </x:c>
      <x:c r="F20" s="26" t="str"/>
      <x:c r="G20" s="26" t="str">
        <x:v>GENERATION</x:v>
      </x:c>
      <x:c r="H20" s="26" t="str"/>
      <x:c r="I20" s="26" t="str"/>
      <x:c r="J20" s="26" t="str"/>
    </x:row>
    <x:row r="21">
      <x:c r="A21" s="26" t="str">
        <x:v>02_GENERATIONS</x:v>
      </x:c>
      <x:c r="B21" s="26" t="str">
        <x:v>notes</x:v>
      </x:c>
      <x:c r="C21" s="26" t="str">
        <x:v>Generation notes.</x:v>
      </x:c>
      <x:c r="D21" s="26" t="str">
        <x:v>TEXT</x:v>
      </x:c>
      <x:c r="E21" s="26" t="str">
        <x:v>NICE_TO_HAVE</x:v>
      </x:c>
      <x:c r="F21" s="26" t="str"/>
      <x:c r="G21" s="26" t="str">
        <x:v>GENERATION</x:v>
      </x:c>
      <x:c r="H21" s="26" t="str"/>
      <x:c r="I21" s="26" t="str"/>
      <x:c r="J21" s="26" t="str"/>
    </x:row>
    <x:row r="22">
      <x:c r="A22" s="26" t="str">
        <x:v>03_POWERTRAINS</x:v>
      </x:c>
      <x:c r="B22" s="26" t="str">
        <x:v>powertrain_id</x:v>
      </x:c>
      <x:c r="C22" s="26" t="str">
        <x:v>Immutable powertrain variant ID.</x:v>
      </x:c>
      <x:c r="D22" s="26" t="str">
        <x:v>ID</x:v>
      </x:c>
      <x:c r="E22" s="26" t="str">
        <x:v>MUST</x:v>
      </x:c>
      <x:c r="F22" s="26" t="str"/>
      <x:c r="G22" s="26" t="str">
        <x:v>POWERTRAIN</x:v>
      </x:c>
      <x:c r="H22" s="26" t="str"/>
      <x:c r="I22" s="26" t="str">
        <x:v>PWR-000001</x:v>
      </x:c>
      <x:c r="J22" s="26" t="str"/>
    </x:row>
    <x:row r="23">
      <x:c r="A23" s="26" t="str">
        <x:v>03_POWERTRAINS</x:v>
      </x:c>
      <x:c r="B23" s="26" t="str">
        <x:v>generation_id</x:v>
      </x:c>
      <x:c r="C23" s="26" t="str">
        <x:v>FK to generation.</x:v>
      </x:c>
      <x:c r="D23" s="26" t="str">
        <x:v>FK</x:v>
      </x:c>
      <x:c r="E23" s="26" t="str">
        <x:v>MUST</x:v>
      </x:c>
      <x:c r="F23" s="26" t="str"/>
      <x:c r="G23" s="26" t="str">
        <x:v>POWERTRAIN</x:v>
      </x:c>
      <x:c r="H23" s="26" t="str"/>
      <x:c r="I23" s="26" t="str">
        <x:v>GEN-000001</x:v>
      </x:c>
      <x:c r="J23" s="26" t="str"/>
    </x:row>
    <x:row r="24">
      <x:c r="A24" s="26" t="str">
        <x:v>03_POWERTRAINS</x:v>
      </x:c>
      <x:c r="B24" s="26" t="str">
        <x:v>marketing_name</x:v>
      </x:c>
      <x:c r="C24" s="26" t="str">
        <x:v>Official/marketed powertrain name.</x:v>
      </x:c>
      <x:c r="D24" s="26" t="str">
        <x:v>TEXT</x:v>
      </x:c>
      <x:c r="E24" s="26" t="str">
        <x:v>SHOULD</x:v>
      </x:c>
      <x:c r="F24" s="26" t="str"/>
      <x:c r="G24" s="26" t="str">
        <x:v>POWERTRAIN</x:v>
      </x:c>
      <x:c r="H24" s="26" t="str"/>
      <x:c r="I24" s="26" t="str">
        <x:v>1.4 Boosterjet Hybrid</x:v>
      </x:c>
      <x:c r="J24" s="26" t="str"/>
    </x:row>
    <x:row r="25">
      <x:c r="A25" s="26" t="str">
        <x:v>03_POWERTRAINS</x:v>
      </x:c>
      <x:c r="B25" s="26" t="str">
        <x:v>fuel_type</x:v>
      </x:c>
      <x:c r="C25" s="26" t="str">
        <x:v>Primary fuel/energy type.</x:v>
      </x:c>
      <x:c r="D25" s="26" t="str">
        <x:v>ENUM</x:v>
      </x:c>
      <x:c r="E25" s="26" t="str">
        <x:v>MUST</x:v>
      </x:c>
      <x:c r="F25" s="26" t="str"/>
      <x:c r="G25" s="26" t="str">
        <x:v>POWERTRAIN</x:v>
      </x:c>
      <x:c r="H25" s="26" t="str">
        <x:v>FUEL_TYPE</x:v>
      </x:c>
      <x:c r="I25" s="26" t="str">
        <x:v>PETROL</x:v>
      </x:c>
      <x:c r="J25" s="26" t="str"/>
    </x:row>
    <x:row r="26">
      <x:c r="A26" s="26" t="str">
        <x:v>03_POWERTRAINS</x:v>
      </x:c>
      <x:c r="B26" s="26" t="str">
        <x:v>electrification_type</x:v>
      </x:c>
      <x:c r="C26" s="26" t="str">
        <x:v>Electrification architecture.</x:v>
      </x:c>
      <x:c r="D26" s="26" t="str">
        <x:v>ENUM</x:v>
      </x:c>
      <x:c r="E26" s="26" t="str">
        <x:v>MUST</x:v>
      </x:c>
      <x:c r="F26" s="26" t="str"/>
      <x:c r="G26" s="26" t="str">
        <x:v>POWERTRAIN</x:v>
      </x:c>
      <x:c r="H26" s="26" t="str">
        <x:v>ELECTRIFICATION_TYPE</x:v>
      </x:c>
      <x:c r="I26" s="26" t="str">
        <x:v>MHEV</x:v>
      </x:c>
      <x:c r="J26" s="26" t="str"/>
    </x:row>
    <x:row r="27">
      <x:c r="A27" s="26" t="str">
        <x:v>03_POWERTRAINS</x:v>
      </x:c>
      <x:c r="B27" s="26" t="str">
        <x:v>engine_displacement_cc</x:v>
      </x:c>
      <x:c r="C27" s="26" t="str">
        <x:v>ICE displacement.</x:v>
      </x:c>
      <x:c r="D27" s="26" t="str">
        <x:v>INTEGER</x:v>
      </x:c>
      <x:c r="E27" s="26" t="str">
        <x:v>SHOULD</x:v>
      </x:c>
      <x:c r="F27" s="26" t="str">
        <x:v>cc</x:v>
      </x:c>
      <x:c r="G27" s="26" t="str">
        <x:v>POWERTRAIN</x:v>
      </x:c>
      <x:c r="H27" s="26" t="str"/>
      <x:c r="I27" s="26" t="n">
        <x:v>1373</x:v>
      </x:c>
      <x:c r="J27" s="26" t="str"/>
    </x:row>
    <x:row r="28">
      <x:c r="A28" s="26" t="str">
        <x:v>03_POWERTRAINS</x:v>
      </x:c>
      <x:c r="B28" s="26" t="str">
        <x:v>power_kw</x:v>
      </x:c>
      <x:c r="C28" s="26" t="str">
        <x:v>Canonical power.</x:v>
      </x:c>
      <x:c r="D28" s="26" t="str">
        <x:v>NUMBER</x:v>
      </x:c>
      <x:c r="E28" s="26" t="str">
        <x:v>MUST</x:v>
      </x:c>
      <x:c r="F28" s="26" t="str">
        <x:v>kW</x:v>
      </x:c>
      <x:c r="G28" s="26" t="str">
        <x:v>POWERTRAIN</x:v>
      </x:c>
      <x:c r="H28" s="26" t="str"/>
      <x:c r="I28" s="26" t="n">
        <x:v>95</x:v>
      </x:c>
      <x:c r="J28" s="26" t="str">
        <x:v>Source-backed before VERIFIED.</x:v>
      </x:c>
    </x:row>
    <x:row r="29">
      <x:c r="A29" s="26" t="str">
        <x:v>03_POWERTRAINS</x:v>
      </x:c>
      <x:c r="B29" s="26" t="str">
        <x:v>power_ps</x:v>
      </x:c>
      <x:c r="C29" s="26" t="str">
        <x:v>Reference/display metric power.</x:v>
      </x:c>
      <x:c r="D29" s="26" t="str">
        <x:v>NUMBER</x:v>
      </x:c>
      <x:c r="E29" s="26" t="str">
        <x:v>SHOULD</x:v>
      </x:c>
      <x:c r="F29" s="26" t="str">
        <x:v>PS</x:v>
      </x:c>
      <x:c r="G29" s="26" t="str">
        <x:v>POWERTRAIN</x:v>
      </x:c>
      <x:c r="H29" s="26" t="str"/>
      <x:c r="I29" s="26" t="n">
        <x:v>129</x:v>
      </x:c>
      <x:c r="J29" s="26" t="str"/>
    </x:row>
    <x:row r="30">
      <x:c r="A30" s="26" t="str">
        <x:v>03_POWERTRAINS</x:v>
      </x:c>
      <x:c r="B30" s="26" t="str">
        <x:v>torque_nm</x:v>
      </x:c>
      <x:c r="C30" s="26" t="str">
        <x:v>Peak torque.</x:v>
      </x:c>
      <x:c r="D30" s="26" t="str">
        <x:v>NUMBER</x:v>
      </x:c>
      <x:c r="E30" s="26" t="str">
        <x:v>SHOULD</x:v>
      </x:c>
      <x:c r="F30" s="26" t="str">
        <x:v>Nm</x:v>
      </x:c>
      <x:c r="G30" s="26" t="str">
        <x:v>POWERTRAIN</x:v>
      </x:c>
      <x:c r="H30" s="26" t="str"/>
      <x:c r="I30" s="26" t="n">
        <x:v>235</x:v>
      </x:c>
      <x:c r="J30" s="26" t="str"/>
    </x:row>
    <x:row r="31">
      <x:c r="A31" s="26" t="str">
        <x:v>03_POWERTRAINS</x:v>
      </x:c>
      <x:c r="B31" s="26" t="str">
        <x:v>transmission_type</x:v>
      </x:c>
      <x:c r="C31" s="26" t="str">
        <x:v>Transmission architecture.</x:v>
      </x:c>
      <x:c r="D31" s="26" t="str">
        <x:v>ENUM</x:v>
      </x:c>
      <x:c r="E31" s="26" t="str">
        <x:v>MUST</x:v>
      </x:c>
      <x:c r="F31" s="26" t="str"/>
      <x:c r="G31" s="26" t="str">
        <x:v>POWERTRAIN</x:v>
      </x:c>
      <x:c r="H31" s="26" t="str">
        <x:v>TRANSMISSION_TYPE</x:v>
      </x:c>
      <x:c r="I31" s="26" t="str">
        <x:v>AUTOMATIC</x:v>
      </x:c>
      <x:c r="J31" s="26" t="str"/>
    </x:row>
    <x:row r="32">
      <x:c r="A32" s="26" t="str">
        <x:v>03_POWERTRAINS</x:v>
      </x:c>
      <x:c r="B32" s="26" t="str">
        <x:v>transmission_gears</x:v>
      </x:c>
      <x:c r="C32" s="26" t="str">
        <x:v>Forward gear count.</x:v>
      </x:c>
      <x:c r="D32" s="26" t="str">
        <x:v>INTEGER</x:v>
      </x:c>
      <x:c r="E32" s="26" t="str">
        <x:v>SHOULD</x:v>
      </x:c>
      <x:c r="F32" s="26" t="str"/>
      <x:c r="G32" s="26" t="str">
        <x:v>POWERTRAIN</x:v>
      </x:c>
      <x:c r="H32" s="26" t="str"/>
      <x:c r="I32" s="26" t="n">
        <x:v>6</x:v>
      </x:c>
      <x:c r="J32" s="26" t="str"/>
    </x:row>
    <x:row r="33">
      <x:c r="A33" s="26" t="str">
        <x:v>03_POWERTRAINS</x:v>
      </x:c>
      <x:c r="B33" s="26" t="str">
        <x:v>drivetrain</x:v>
      </x:c>
      <x:c r="C33" s="26" t="str">
        <x:v>Driven axle/system.</x:v>
      </x:c>
      <x:c r="D33" s="26" t="str">
        <x:v>ENUM</x:v>
      </x:c>
      <x:c r="E33" s="26" t="str">
        <x:v>MUST</x:v>
      </x:c>
      <x:c r="F33" s="26" t="str"/>
      <x:c r="G33" s="26" t="str">
        <x:v>POWERTRAIN</x:v>
      </x:c>
      <x:c r="H33" s="26" t="str">
        <x:v>DRIVETRAIN</x:v>
      </x:c>
      <x:c r="I33" s="26" t="str">
        <x:v>AWD</x:v>
      </x:c>
      <x:c r="J33" s="26" t="str"/>
    </x:row>
    <x:row r="34">
      <x:c r="A34" s="26" t="str">
        <x:v>03_POWERTRAINS</x:v>
      </x:c>
      <x:c r="B34" s="26" t="str">
        <x:v>battery_usable_kwh</x:v>
      </x:c>
      <x:c r="C34" s="26" t="str">
        <x:v>Usable traction battery capacity.</x:v>
      </x:c>
      <x:c r="D34" s="26" t="str">
        <x:v>NUMBER</x:v>
      </x:c>
      <x:c r="E34" s="26" t="str">
        <x:v>MUST</x:v>
      </x:c>
      <x:c r="F34" s="26" t="str">
        <x:v>kWh</x:v>
      </x:c>
      <x:c r="G34" s="26" t="str">
        <x:v>POWERTRAIN</x:v>
      </x:c>
      <x:c r="H34" s="26" t="str"/>
      <x:c r="I34" s="26" t="str"/>
      <x:c r="J34" s="26" t="str">
        <x:v>MUST for BEV when published.</x:v>
      </x:c>
    </x:row>
    <x:row r="35">
      <x:c r="A35" s="26" t="str">
        <x:v>03_POWERTRAINS</x:v>
      </x:c>
      <x:c r="B35" s="26" t="str">
        <x:v>identity_status</x:v>
      </x:c>
      <x:c r="C35" s="26" t="str">
        <x:v>Identity resolution state.</x:v>
      </x:c>
      <x:c r="D35" s="26" t="str">
        <x:v>ENUM</x:v>
      </x:c>
      <x:c r="E35" s="26" t="str">
        <x:v>MUST</x:v>
      </x:c>
      <x:c r="F35" s="26" t="str"/>
      <x:c r="G35" s="26" t="str">
        <x:v>POWERTRAIN</x:v>
      </x:c>
      <x:c r="H35" s="26" t="str">
        <x:v>IDENTITY_STATUS</x:v>
      </x:c>
      <x:c r="I35" s="26" t="str">
        <x:v>VERIFIED</x:v>
      </x:c>
      <x:c r="J35" s="26" t="str"/>
    </x:row>
    <x:row r="36">
      <x:c r="A36" s="26" t="str">
        <x:v>03_POWERTRAINS</x:v>
      </x:c>
      <x:c r="B36" s="26" t="str">
        <x:v>legacy_motor_text</x:v>
      </x:c>
      <x:c r="C36" s="26" t="str">
        <x:v>Raw v0.3 Motor text.</x:v>
      </x:c>
      <x:c r="D36" s="26" t="str">
        <x:v>TEXT</x:v>
      </x:c>
      <x:c r="E36" s="26" t="str">
        <x:v>SHOULD</x:v>
      </x:c>
      <x:c r="F36" s="26" t="str"/>
      <x:c r="G36" s="26" t="str">
        <x:v>POWERTRAIN</x:v>
      </x:c>
      <x:c r="H36" s="26" t="str"/>
      <x:c r="I36" s="26" t="str">
        <x:v>1.4 Hybrid 129 PS</x:v>
      </x:c>
      <x:c r="J36" s="26" t="str">
        <x:v>Parsing input only.</x:v>
      </x:c>
    </x:row>
    <x:row r="37">
      <x:c r="A37" s="26" t="str">
        <x:v>03_POWERTRAINS</x:v>
      </x:c>
      <x:c r="B37" s="26" t="str">
        <x:v>notes</x:v>
      </x:c>
      <x:c r="C37" s="26" t="str">
        <x:v>Powertrain notes.</x:v>
      </x:c>
      <x:c r="D37" s="26" t="str">
        <x:v>TEXT</x:v>
      </x:c>
      <x:c r="E37" s="26" t="str">
        <x:v>NICE_TO_HAVE</x:v>
      </x:c>
      <x:c r="F37" s="26" t="str"/>
      <x:c r="G37" s="26" t="str">
        <x:v>POWERTRAIN</x:v>
      </x:c>
      <x:c r="H37" s="26" t="str"/>
      <x:c r="I37" s="26" t="str"/>
      <x:c r="J37" s="26" t="str"/>
    </x:row>
    <x:row r="38">
      <x:c r="A38" s="26" t="str">
        <x:v>04_CONFIGURATIONS</x:v>
      </x:c>
      <x:c r="B38" s="26" t="str">
        <x:v>configuration_id</x:v>
      </x:c>
      <x:c r="C38" s="26" t="str">
        <x:v>Immutable market configuration ID.</x:v>
      </x:c>
      <x:c r="D38" s="26" t="str">
        <x:v>ID</x:v>
      </x:c>
      <x:c r="E38" s="26" t="str">
        <x:v>MUST</x:v>
      </x:c>
      <x:c r="F38" s="26" t="str"/>
      <x:c r="G38" s="26" t="str">
        <x:v>CONFIGURATION</x:v>
      </x:c>
      <x:c r="H38" s="26" t="str"/>
      <x:c r="I38" s="26" t="str">
        <x:v>CFG-000001</x:v>
      </x:c>
      <x:c r="J38" s="26" t="str"/>
    </x:row>
    <x:row r="39">
      <x:c r="A39" s="26" t="str">
        <x:v>04_CONFIGURATIONS</x:v>
      </x:c>
      <x:c r="B39" s="26" t="str">
        <x:v>generation_id</x:v>
      </x:c>
      <x:c r="C39" s="26" t="str">
        <x:v>FK to generation.</x:v>
      </x:c>
      <x:c r="D39" s="26" t="str">
        <x:v>FK</x:v>
      </x:c>
      <x:c r="E39" s="26" t="str">
        <x:v>MUST</x:v>
      </x:c>
      <x:c r="F39" s="26" t="str"/>
      <x:c r="G39" s="26" t="str">
        <x:v>CONFIGURATION</x:v>
      </x:c>
      <x:c r="H39" s="26" t="str"/>
      <x:c r="I39" s="26" t="str">
        <x:v>GEN-000001</x:v>
      </x:c>
      <x:c r="J39" s="26" t="str"/>
    </x:row>
    <x:row r="40">
      <x:c r="A40" s="26" t="str">
        <x:v>04_CONFIGURATIONS</x:v>
      </x:c>
      <x:c r="B40" s="26" t="str">
        <x:v>powertrain_id</x:v>
      </x:c>
      <x:c r="C40" s="26" t="str">
        <x:v>FK to powertrain.</x:v>
      </x:c>
      <x:c r="D40" s="26" t="str">
        <x:v>FK</x:v>
      </x:c>
      <x:c r="E40" s="26" t="str">
        <x:v>MUST</x:v>
      </x:c>
      <x:c r="F40" s="26" t="str"/>
      <x:c r="G40" s="26" t="str">
        <x:v>CONFIGURATION</x:v>
      </x:c>
      <x:c r="H40" s="26" t="str"/>
      <x:c r="I40" s="26" t="str">
        <x:v>PWR-000001</x:v>
      </x:c>
      <x:c r="J40" s="26" t="str"/>
    </x:row>
    <x:row r="41">
      <x:c r="A41" s="26" t="str">
        <x:v>04_CONFIGURATIONS</x:v>
      </x:c>
      <x:c r="B41" s="26" t="str">
        <x:v>market</x:v>
      </x:c>
      <x:c r="C41" s="26" t="str">
        <x:v>Commercial market.</x:v>
      </x:c>
      <x:c r="D41" s="26" t="str">
        <x:v>ENUM</x:v>
      </x:c>
      <x:c r="E41" s="26" t="str">
        <x:v>MUST</x:v>
      </x:c>
      <x:c r="F41" s="26" t="str"/>
      <x:c r="G41" s="26" t="str">
        <x:v>CONFIGURATION</x:v>
      </x:c>
      <x:c r="H41" s="26" t="str">
        <x:v>MARKET</x:v>
      </x:c>
      <x:c r="I41" s="26" t="str">
        <x:v>TR</x:v>
      </x:c>
      <x:c r="J41" s="26" t="str"/>
    </x:row>
    <x:row r="42">
      <x:c r="A42" s="26" t="str">
        <x:v>04_CONFIGURATIONS</x:v>
      </x:c>
      <x:c r="B42" s="26" t="str">
        <x:v>model_year</x:v>
      </x:c>
      <x:c r="C42" s="26" t="str">
        <x:v>Applicable model year.</x:v>
      </x:c>
      <x:c r="D42" s="26" t="str">
        <x:v>INTEGER</x:v>
      </x:c>
      <x:c r="E42" s="26" t="str">
        <x:v>MUST</x:v>
      </x:c>
      <x:c r="F42" s="26" t="str"/>
      <x:c r="G42" s="26" t="str">
        <x:v>CONFIGURATION</x:v>
      </x:c>
      <x:c r="H42" s="26" t="str"/>
      <x:c r="I42" s="26" t="n">
        <x:v>2026</x:v>
      </x:c>
      <x:c r="J42" s="26" t="str"/>
    </x:row>
    <x:row r="43">
      <x:c r="A43" s="26" t="str">
        <x:v>04_CONFIGURATIONS</x:v>
      </x:c>
      <x:c r="B43" s="26" t="str">
        <x:v>trim_name</x:v>
      </x:c>
      <x:c r="C43" s="26" t="str">
        <x:v>Canonical trim/equipment grade.</x:v>
      </x:c>
      <x:c r="D43" s="26" t="str">
        <x:v>TEXT</x:v>
      </x:c>
      <x:c r="E43" s="26" t="str">
        <x:v>MUST</x:v>
      </x:c>
      <x:c r="F43" s="26" t="str"/>
      <x:c r="G43" s="26" t="str">
        <x:v>CONFIGURATION</x:v>
      </x:c>
      <x:c r="H43" s="26" t="str"/>
      <x:c r="I43" s="26" t="str">
        <x:v>GLX</x:v>
      </x:c>
      <x:c r="J43" s="26" t="str">
        <x:v>Legacy Donanım is candidate.</x:v>
      </x:c>
    </x:row>
    <x:row r="44">
      <x:c r="A44" s="26" t="str">
        <x:v>04_CONFIGURATIONS</x:v>
      </x:c>
      <x:c r="B44" s="26" t="str">
        <x:v>official_configuration_name</x:v>
      </x:c>
      <x:c r="C44" s="26" t="str">
        <x:v>Official full configuration label.</x:v>
      </x:c>
      <x:c r="D44" s="26" t="str">
        <x:v>TEXT</x:v>
      </x:c>
      <x:c r="E44" s="26" t="str">
        <x:v>SHOULD</x:v>
      </x:c>
      <x:c r="F44" s="26" t="str"/>
      <x:c r="G44" s="26" t="str">
        <x:v>CONFIGURATION</x:v>
      </x:c>
      <x:c r="H44" s="26" t="str"/>
      <x:c r="I44" s="26" t="str">
        <x:v>Vitara 1.4 Hybrid 6AT AllGrip GLX</x:v>
      </x:c>
      <x:c r="J44" s="26" t="str"/>
    </x:row>
    <x:row r="45">
      <x:c r="A45" s="26" t="str">
        <x:v>04_CONFIGURATIONS</x:v>
      </x:c>
      <x:c r="B45" s="26" t="str">
        <x:v>availability_status</x:v>
      </x:c>
      <x:c r="C45" s="26" t="str">
        <x:v>Market availability state.</x:v>
      </x:c>
      <x:c r="D45" s="26" t="str">
        <x:v>ENUM</x:v>
      </x:c>
      <x:c r="E45" s="26" t="str">
        <x:v>MUST</x:v>
      </x:c>
      <x:c r="F45" s="26" t="str"/>
      <x:c r="G45" s="26" t="str">
        <x:v>CONFIGURATION</x:v>
      </x:c>
      <x:c r="H45" s="26" t="str">
        <x:v>AVAILABILITY_STATUS</x:v>
      </x:c>
      <x:c r="I45" s="26" t="str">
        <x:v>CURRENT</x:v>
      </x:c>
      <x:c r="J45" s="26" t="str"/>
    </x:row>
    <x:row r="46">
      <x:c r="A46" s="26" t="str">
        <x:v>04_CONFIGURATIONS</x:v>
      </x:c>
      <x:c r="B46" s="26" t="str">
        <x:v>availability_from</x:v>
      </x:c>
      <x:c r="C46" s="26" t="str">
        <x:v>Availability date if known.</x:v>
      </x:c>
      <x:c r="D46" s="26" t="str">
        <x:v>DATE</x:v>
      </x:c>
      <x:c r="E46" s="26" t="str">
        <x:v>SHOULD</x:v>
      </x:c>
      <x:c r="F46" s="26" t="str"/>
      <x:c r="G46" s="26" t="str">
        <x:v>CONFIGURATION</x:v>
      </x:c>
      <x:c r="H46" s="26" t="str"/>
      <x:c r="I46" s="26" t="str">
        <x:v>2026-01-01</x:v>
      </x:c>
      <x:c r="J46" s="26" t="str"/>
    </x:row>
    <x:row r="47">
      <x:c r="A47" s="26" t="str">
        <x:v>04_CONFIGURATIONS</x:v>
      </x:c>
      <x:c r="B47" s="26" t="str">
        <x:v>availability_to</x:v>
      </x:c>
      <x:c r="C47" s="26" t="str">
        <x:v>End date if known.</x:v>
      </x:c>
      <x:c r="D47" s="26" t="str">
        <x:v>DATE</x:v>
      </x:c>
      <x:c r="E47" s="26" t="str">
        <x:v>SHOULD</x:v>
      </x:c>
      <x:c r="F47" s="26" t="str"/>
      <x:c r="G47" s="26" t="str">
        <x:v>CONFIGURATION</x:v>
      </x:c>
      <x:c r="H47" s="26" t="str"/>
      <x:c r="I47" s="26" t="str"/>
      <x:c r="J47" s="26" t="str"/>
    </x:row>
    <x:row r="48">
      <x:c r="A48" s="26" t="str">
        <x:v>04_CONFIGURATIONS</x:v>
      </x:c>
      <x:c r="B48" s="26" t="str">
        <x:v>configuration_status</x:v>
      </x:c>
      <x:c r="C48" s="26" t="str">
        <x:v>Identity verification state.</x:v>
      </x:c>
      <x:c r="D48" s="26" t="str">
        <x:v>ENUM</x:v>
      </x:c>
      <x:c r="E48" s="26" t="str">
        <x:v>MUST</x:v>
      </x:c>
      <x:c r="F48" s="26" t="str"/>
      <x:c r="G48" s="26" t="str">
        <x:v>CONFIGURATION</x:v>
      </x:c>
      <x:c r="H48" s="26" t="str">
        <x:v>CONFIGURATION_STATUS</x:v>
      </x:c>
      <x:c r="I48" s="26" t="str">
        <x:v>VERIFIED</x:v>
      </x:c>
      <x:c r="J48" s="26" t="str"/>
    </x:row>
    <x:row r="49">
      <x:c r="A49" s="26" t="str">
        <x:v>04_CONFIGURATIONS</x:v>
      </x:c>
      <x:c r="B49" s="26" t="str">
        <x:v>legacy_trim_text</x:v>
      </x:c>
      <x:c r="C49" s="26" t="str">
        <x:v>Raw v0.3 Donanım.</x:v>
      </x:c>
      <x:c r="D49" s="26" t="str">
        <x:v>TEXT</x:v>
      </x:c>
      <x:c r="E49" s="26" t="str">
        <x:v>SHOULD</x:v>
      </x:c>
      <x:c r="F49" s="26" t="str"/>
      <x:c r="G49" s="26" t="str">
        <x:v>CONFIGURATION</x:v>
      </x:c>
      <x:c r="H49" s="26" t="str"/>
      <x:c r="I49" s="26" t="str">
        <x:v>GLX</x:v>
      </x:c>
      <x:c r="J49" s="26" t="str">
        <x:v>Candidate only.</x:v>
      </x:c>
    </x:row>
    <x:row r="50">
      <x:c r="A50" s="26" t="str">
        <x:v>04_CONFIGURATIONS</x:v>
      </x:c>
      <x:c r="B50" s="26" t="str">
        <x:v>legacy_source_id</x:v>
      </x:c>
      <x:c r="C50" s="26" t="str">
        <x:v>Legacy traceability.</x:v>
      </x:c>
      <x:c r="D50" s="26" t="str">
        <x:v>TEXT</x:v>
      </x:c>
      <x:c r="E50" s="26" t="str">
        <x:v>SHOULD</x:v>
      </x:c>
      <x:c r="F50" s="26" t="str"/>
      <x:c r="G50" s="26" t="str">
        <x:v>CONFIGURATION</x:v>
      </x:c>
      <x:c r="H50" s="26" t="str"/>
      <x:c r="I50" s="26" t="str"/>
      <x:c r="J50" s="26" t="str"/>
    </x:row>
    <x:row r="51">
      <x:c r="A51" s="26" t="str">
        <x:v>04_CONFIGURATIONS</x:v>
      </x:c>
      <x:c r="B51" s="26" t="str">
        <x:v>notes</x:v>
      </x:c>
      <x:c r="C51" s="26" t="str">
        <x:v>Configuration notes.</x:v>
      </x:c>
      <x:c r="D51" s="26" t="str">
        <x:v>TEXT</x:v>
      </x:c>
      <x:c r="E51" s="26" t="str">
        <x:v>NICE_TO_HAVE</x:v>
      </x:c>
      <x:c r="F51" s="26" t="str"/>
      <x:c r="G51" s="26" t="str">
        <x:v>CONFIGURATION</x:v>
      </x:c>
      <x:c r="H51" s="26" t="str"/>
      <x:c r="I51" s="26" t="str"/>
      <x:c r="J51" s="26" t="str"/>
    </x:row>
    <x:row r="52">
      <x:c r="A52" s="26" t="str">
        <x:v>05_EVIDENCE_FACTS</x:v>
      </x:c>
      <x:c r="B52" s="26" t="str">
        <x:v>body_type</x:v>
      </x:c>
      <x:c r="C52" s="26" t="str">
        <x:v>Canonical body type</x:v>
      </x:c>
      <x:c r="D52" s="26" t="str">
        <x:v>ENUM</x:v>
      </x:c>
      <x:c r="E52" s="26" t="str">
        <x:v>MUST</x:v>
      </x:c>
      <x:c r="F52" s="26" t="str"/>
      <x:c r="G52" s="26" t="str">
        <x:v>GENERATION</x:v>
      </x:c>
      <x:c r="H52" s="26" t="str">
        <x:v>See enum lists where applicable</x:v>
      </x:c>
      <x:c r="I52" s="26" t="str"/>
      <x:c r="J52" s="26" t="str">
        <x:v>One atomic fact row; provenance via assertion.</x:v>
      </x:c>
    </x:row>
    <x:row r="53">
      <x:c r="A53" s="26" t="str">
        <x:v>05_EVIDENCE_FACTS</x:v>
      </x:c>
      <x:c r="B53" s="26" t="str">
        <x:v>fuel_type</x:v>
      </x:c>
      <x:c r="C53" s="26" t="str">
        <x:v>Fuel type</x:v>
      </x:c>
      <x:c r="D53" s="26" t="str">
        <x:v>ENUM</x:v>
      </x:c>
      <x:c r="E53" s="26" t="str">
        <x:v>MUST</x:v>
      </x:c>
      <x:c r="F53" s="26" t="str"/>
      <x:c r="G53" s="26" t="str">
        <x:v>POWERTRAIN</x:v>
      </x:c>
      <x:c r="H53" s="26" t="str">
        <x:v>See enum lists where applicable</x:v>
      </x:c>
      <x:c r="I53" s="26" t="str"/>
      <x:c r="J53" s="26" t="str">
        <x:v>One atomic fact row; provenance via assertion.</x:v>
      </x:c>
    </x:row>
    <x:row r="54">
      <x:c r="A54" s="26" t="str">
        <x:v>05_EVIDENCE_FACTS</x:v>
      </x:c>
      <x:c r="B54" s="26" t="str">
        <x:v>electrification_type</x:v>
      </x:c>
      <x:c r="C54" s="26" t="str">
        <x:v>Electrification architecture</x:v>
      </x:c>
      <x:c r="D54" s="26" t="str">
        <x:v>ENUM</x:v>
      </x:c>
      <x:c r="E54" s="26" t="str">
        <x:v>MUST</x:v>
      </x:c>
      <x:c r="F54" s="26" t="str"/>
      <x:c r="G54" s="26" t="str">
        <x:v>POWERTRAIN</x:v>
      </x:c>
      <x:c r="H54" s="26" t="str">
        <x:v>See enum lists where applicable</x:v>
      </x:c>
      <x:c r="I54" s="26" t="str"/>
      <x:c r="J54" s="26" t="str">
        <x:v>One atomic fact row; provenance via assertion.</x:v>
      </x:c>
    </x:row>
    <x:row r="55">
      <x:c r="A55" s="26" t="str">
        <x:v>05_EVIDENCE_FACTS</x:v>
      </x:c>
      <x:c r="B55" s="26" t="str">
        <x:v>power_kw</x:v>
      </x:c>
      <x:c r="C55" s="26" t="str">
        <x:v>Power</x:v>
      </x:c>
      <x:c r="D55" s="26" t="str">
        <x:v>NUMBER</x:v>
      </x:c>
      <x:c r="E55" s="26" t="str">
        <x:v>MUST</x:v>
      </x:c>
      <x:c r="F55" s="26" t="str">
        <x:v>kW</x:v>
      </x:c>
      <x:c r="G55" s="26" t="str">
        <x:v>POWERTRAIN</x:v>
      </x:c>
      <x:c r="H55" s="26" t="str">
        <x:v>See enum lists where applicable</x:v>
      </x:c>
      <x:c r="I55" s="26" t="str"/>
      <x:c r="J55" s="26" t="str">
        <x:v>One atomic fact row; provenance via assertion.</x:v>
      </x:c>
    </x:row>
    <x:row r="56">
      <x:c r="A56" s="26" t="str">
        <x:v>05_EVIDENCE_FACTS</x:v>
      </x:c>
      <x:c r="B56" s="26" t="str">
        <x:v>transmission_type</x:v>
      </x:c>
      <x:c r="C56" s="26" t="str">
        <x:v>Transmission</x:v>
      </x:c>
      <x:c r="D56" s="26" t="str">
        <x:v>ENUM</x:v>
      </x:c>
      <x:c r="E56" s="26" t="str">
        <x:v>MUST</x:v>
      </x:c>
      <x:c r="F56" s="26" t="str"/>
      <x:c r="G56" s="26" t="str">
        <x:v>POWERTRAIN</x:v>
      </x:c>
      <x:c r="H56" s="26" t="str">
        <x:v>See enum lists where applicable</x:v>
      </x:c>
      <x:c r="I56" s="26" t="str"/>
      <x:c r="J56" s="26" t="str">
        <x:v>One atomic fact row; provenance via assertion.</x:v>
      </x:c>
    </x:row>
    <x:row r="57">
      <x:c r="A57" s="26" t="str">
        <x:v>05_EVIDENCE_FACTS</x:v>
      </x:c>
      <x:c r="B57" s="26" t="str">
        <x:v>drivetrain</x:v>
      </x:c>
      <x:c r="C57" s="26" t="str">
        <x:v>Drivetrain</x:v>
      </x:c>
      <x:c r="D57" s="26" t="str">
        <x:v>ENUM</x:v>
      </x:c>
      <x:c r="E57" s="26" t="str">
        <x:v>MUST</x:v>
      </x:c>
      <x:c r="F57" s="26" t="str"/>
      <x:c r="G57" s="26" t="str">
        <x:v>POWERTRAIN</x:v>
      </x:c>
      <x:c r="H57" s="26" t="str">
        <x:v>See enum lists where applicable</x:v>
      </x:c>
      <x:c r="I57" s="26" t="str"/>
      <x:c r="J57" s="26" t="str">
        <x:v>One atomic fact row; provenance via assertion.</x:v>
      </x:c>
    </x:row>
    <x:row r="58">
      <x:c r="A58" s="26" t="str">
        <x:v>05_EVIDENCE_FACTS</x:v>
      </x:c>
      <x:c r="B58" s="26" t="str">
        <x:v>length_mm</x:v>
      </x:c>
      <x:c r="C58" s="26" t="str">
        <x:v>Overall length</x:v>
      </x:c>
      <x:c r="D58" s="26" t="str">
        <x:v>NUMBER</x:v>
      </x:c>
      <x:c r="E58" s="26" t="str">
        <x:v>MUST</x:v>
      </x:c>
      <x:c r="F58" s="26" t="str">
        <x:v>mm</x:v>
      </x:c>
      <x:c r="G58" s="26" t="str">
        <x:v>GENERATION</x:v>
      </x:c>
      <x:c r="H58" s="26" t="str">
        <x:v>See enum lists where applicable</x:v>
      </x:c>
      <x:c r="I58" s="26" t="str"/>
      <x:c r="J58" s="26" t="str">
        <x:v>One atomic fact row; provenance via assertion.</x:v>
      </x:c>
    </x:row>
    <x:row r="59">
      <x:c r="A59" s="26" t="str">
        <x:v>05_EVIDENCE_FACTS</x:v>
      </x:c>
      <x:c r="B59" s="26" t="str">
        <x:v>width_mm</x:v>
      </x:c>
      <x:c r="C59" s="26" t="str">
        <x:v>Overall width</x:v>
      </x:c>
      <x:c r="D59" s="26" t="str">
        <x:v>NUMBER</x:v>
      </x:c>
      <x:c r="E59" s="26" t="str">
        <x:v>MUST</x:v>
      </x:c>
      <x:c r="F59" s="26" t="str">
        <x:v>mm</x:v>
      </x:c>
      <x:c r="G59" s="26" t="str">
        <x:v>GENERATION</x:v>
      </x:c>
      <x:c r="H59" s="26" t="str">
        <x:v>See enum lists where applicable</x:v>
      </x:c>
      <x:c r="I59" s="26" t="str"/>
      <x:c r="J59" s="26" t="str">
        <x:v>One atomic fact row; provenance via assertion.</x:v>
      </x:c>
    </x:row>
    <x:row r="60">
      <x:c r="A60" s="26" t="str">
        <x:v>05_EVIDENCE_FACTS</x:v>
      </x:c>
      <x:c r="B60" s="26" t="str">
        <x:v>seats</x:v>
      </x:c>
      <x:c r="C60" s="26" t="str">
        <x:v>Seating capacity</x:v>
      </x:c>
      <x:c r="D60" s="26" t="str">
        <x:v>INTEGER</x:v>
      </x:c>
      <x:c r="E60" s="26" t="str">
        <x:v>MUST</x:v>
      </x:c>
      <x:c r="F60" s="26" t="str">
        <x:v>count</x:v>
      </x:c>
      <x:c r="G60" s="26" t="str">
        <x:v>CONFIGURATION</x:v>
      </x:c>
      <x:c r="H60" s="26" t="str">
        <x:v>See enum lists where applicable</x:v>
      </x:c>
      <x:c r="I60" s="26" t="str"/>
      <x:c r="J60" s="26" t="str">
        <x:v>One atomic fact row; provenance via assertion.</x:v>
      </x:c>
    </x:row>
    <x:row r="61">
      <x:c r="A61" s="26" t="str">
        <x:v>05_EVIDENCE_FACTS</x:v>
      </x:c>
      <x:c r="B61" s="26" t="str">
        <x:v>cargo_volume_l</x:v>
      </x:c>
      <x:c r="C61" s="26" t="str">
        <x:v>Cargo volume, seats up</x:v>
      </x:c>
      <x:c r="D61" s="26" t="str">
        <x:v>NUMBER</x:v>
      </x:c>
      <x:c r="E61" s="26" t="str">
        <x:v>MUST</x:v>
      </x:c>
      <x:c r="F61" s="26" t="str">
        <x:v>L</x:v>
      </x:c>
      <x:c r="G61" s="26" t="str">
        <x:v>GENERATION</x:v>
      </x:c>
      <x:c r="H61" s="26" t="str">
        <x:v>See enum lists where applicable</x:v>
      </x:c>
      <x:c r="I61" s="26" t="str"/>
      <x:c r="J61" s="26" t="str">
        <x:v>One atomic fact row; provenance via assertion.</x:v>
      </x:c>
    </x:row>
    <x:row r="62">
      <x:c r="A62" s="26" t="str">
        <x:v>05_EVIDENCE_FACTS</x:v>
      </x:c>
      <x:c r="B62" s="26" t="str">
        <x:v>ground_clearance_mm</x:v>
      </x:c>
      <x:c r="C62" s="26" t="str">
        <x:v>Ground clearance</x:v>
      </x:c>
      <x:c r="D62" s="26" t="str">
        <x:v>NUMBER</x:v>
      </x:c>
      <x:c r="E62" s="26" t="str">
        <x:v>CONDITIONAL_MUST</x:v>
      </x:c>
      <x:c r="F62" s="26" t="str">
        <x:v>mm</x:v>
      </x:c>
      <x:c r="G62" s="26" t="str">
        <x:v>CONFIGURATION</x:v>
      </x:c>
      <x:c r="H62" s="26" t="str">
        <x:v>MUST when rough-road, camping, stabilized-road, off-road, or clearance constraint is materially relevant; otherwise UNKNOWN is non-blocking.</x:v>
      </x:c>
      <x:c r="I62" s="26" t="str"/>
      <x:c r="J62" s="26" t="str">
        <x:v>One atomic fact row; provenance via assertion.</x:v>
      </x:c>
    </x:row>
    <x:row r="63">
      <x:c r="A63" s="26" t="str">
        <x:v>05_EVIDENCE_FACTS</x:v>
      </x:c>
      <x:c r="B63" s="26" t="str">
        <x:v>official_fuel_consumption_combined</x:v>
      </x:c>
      <x:c r="C63" s="26" t="str">
        <x:v>Official combined fuel consumption</x:v>
      </x:c>
      <x:c r="D63" s="26" t="str">
        <x:v>NUMBER</x:v>
      </x:c>
      <x:c r="E63" s="26" t="str">
        <x:v>MUST</x:v>
      </x:c>
      <x:c r="F63" s="26" t="str">
        <x:v>L/100km</x:v>
      </x:c>
      <x:c r="G63" s="26" t="str">
        <x:v>POWERTRAIN</x:v>
      </x:c>
      <x:c r="H63" s="26" t="str">
        <x:v>See enum lists where applicable</x:v>
      </x:c>
      <x:c r="I63" s="26" t="str"/>
      <x:c r="J63" s="26" t="str">
        <x:v>One atomic fact row; provenance via assertion.</x:v>
      </x:c>
    </x:row>
    <x:row r="64">
      <x:c r="A64" s="26" t="str">
        <x:v>05_EVIDENCE_FACTS</x:v>
      </x:c>
      <x:c r="B64" s="26" t="str">
        <x:v>official_energy_consumption_combined</x:v>
      </x:c>
      <x:c r="C64" s="26" t="str">
        <x:v>Official combined electric energy consumption</x:v>
      </x:c>
      <x:c r="D64" s="26" t="str">
        <x:v>NUMBER</x:v>
      </x:c>
      <x:c r="E64" s="26" t="str">
        <x:v>MUST</x:v>
      </x:c>
      <x:c r="F64" s="26" t="str">
        <x:v>kWh/100km</x:v>
      </x:c>
      <x:c r="G64" s="26" t="str">
        <x:v>POWERTRAIN</x:v>
      </x:c>
      <x:c r="H64" s="26" t="str">
        <x:v>See enum lists where applicable</x:v>
      </x:c>
      <x:c r="I64" s="26" t="str"/>
      <x:c r="J64" s="26" t="str">
        <x:v>One atomic fact row; provenance via assertion.</x:v>
      </x:c>
    </x:row>
    <x:row r="65">
      <x:c r="A65" s="26" t="str">
        <x:v>05_EVIDENCE_FACTS</x:v>
      </x:c>
      <x:c r="B65" s="26" t="str">
        <x:v>official_electric_range</x:v>
      </x:c>
      <x:c r="C65" s="26" t="str">
        <x:v>Official electric range</x:v>
      </x:c>
      <x:c r="D65" s="26" t="str">
        <x:v>NUMBER</x:v>
      </x:c>
      <x:c r="E65" s="26" t="str">
        <x:v>MUST</x:v>
      </x:c>
      <x:c r="F65" s="26" t="str">
        <x:v>km</x:v>
      </x:c>
      <x:c r="G65" s="26" t="str">
        <x:v>POWERTRAIN</x:v>
      </x:c>
      <x:c r="H65" s="26" t="str">
        <x:v>See enum lists where applicable</x:v>
      </x:c>
      <x:c r="I65" s="26" t="str"/>
      <x:c r="J65" s="26" t="str">
        <x:v>One atomic fact row; provenance via assertion.</x:v>
      </x:c>
    </x:row>
    <x:row r="66">
      <x:c r="A66" s="26" t="str">
        <x:v>05_EVIDENCE_FACTS</x:v>
      </x:c>
      <x:c r="B66" s="26" t="str">
        <x:v>height_mm</x:v>
      </x:c>
      <x:c r="C66" s="26" t="str">
        <x:v>Overall height</x:v>
      </x:c>
      <x:c r="D66" s="26" t="str">
        <x:v>NUMBER</x:v>
      </x:c>
      <x:c r="E66" s="26" t="str">
        <x:v>SHOULD</x:v>
      </x:c>
      <x:c r="F66" s="26" t="str">
        <x:v>mm</x:v>
      </x:c>
      <x:c r="G66" s="26" t="str">
        <x:v>GENERATION</x:v>
      </x:c>
      <x:c r="H66" s="26" t="str">
        <x:v>See enum lists where applicable</x:v>
      </x:c>
      <x:c r="I66" s="26" t="str"/>
      <x:c r="J66" s="26" t="str">
        <x:v>One atomic fact row; provenance via assertion.</x:v>
      </x:c>
    </x:row>
    <x:row r="67">
      <x:c r="A67" s="26" t="str">
        <x:v>05_EVIDENCE_FACTS</x:v>
      </x:c>
      <x:c r="B67" s="26" t="str">
        <x:v>wheelbase_mm</x:v>
      </x:c>
      <x:c r="C67" s="26" t="str">
        <x:v>Wheelbase</x:v>
      </x:c>
      <x:c r="D67" s="26" t="str">
        <x:v>NUMBER</x:v>
      </x:c>
      <x:c r="E67" s="26" t="str">
        <x:v>SHOULD</x:v>
      </x:c>
      <x:c r="F67" s="26" t="str">
        <x:v>mm</x:v>
      </x:c>
      <x:c r="G67" s="26" t="str">
        <x:v>GENERATION</x:v>
      </x:c>
      <x:c r="H67" s="26" t="str">
        <x:v>See enum lists where applicable</x:v>
      </x:c>
      <x:c r="I67" s="26" t="str"/>
      <x:c r="J67" s="26" t="str">
        <x:v>One atomic fact row; provenance via assertion.</x:v>
      </x:c>
    </x:row>
    <x:row r="68">
      <x:c r="A68" s="26" t="str">
        <x:v>05_EVIDENCE_FACTS</x:v>
      </x:c>
      <x:c r="B68" s="26" t="str">
        <x:v>engine_displacement_cc</x:v>
      </x:c>
      <x:c r="C68" s="26" t="str">
        <x:v>ICE displacement</x:v>
      </x:c>
      <x:c r="D68" s="26" t="str">
        <x:v>INTEGER</x:v>
      </x:c>
      <x:c r="E68" s="26" t="str">
        <x:v>SHOULD</x:v>
      </x:c>
      <x:c r="F68" s="26" t="str">
        <x:v>cc</x:v>
      </x:c>
      <x:c r="G68" s="26" t="str">
        <x:v>POWERTRAIN</x:v>
      </x:c>
      <x:c r="H68" s="26" t="str">
        <x:v>See enum lists where applicable</x:v>
      </x:c>
      <x:c r="I68" s="26" t="str"/>
      <x:c r="J68" s="26" t="str">
        <x:v>One atomic fact row; provenance via assertion.</x:v>
      </x:c>
    </x:row>
    <x:row r="69">
      <x:c r="A69" s="26" t="str">
        <x:v>05_EVIDENCE_FACTS</x:v>
      </x:c>
      <x:c r="B69" s="26" t="str">
        <x:v>torque_nm</x:v>
      </x:c>
      <x:c r="C69" s="26" t="str">
        <x:v>Peak torque</x:v>
      </x:c>
      <x:c r="D69" s="26" t="str">
        <x:v>NUMBER</x:v>
      </x:c>
      <x:c r="E69" s="26" t="str">
        <x:v>SHOULD</x:v>
      </x:c>
      <x:c r="F69" s="26" t="str">
        <x:v>Nm</x:v>
      </x:c>
      <x:c r="G69" s="26" t="str">
        <x:v>POWERTRAIN</x:v>
      </x:c>
      <x:c r="H69" s="26" t="str">
        <x:v>See enum lists where applicable</x:v>
      </x:c>
      <x:c r="I69" s="26" t="str"/>
      <x:c r="J69" s="26" t="str">
        <x:v>One atomic fact row; provenance via assertion.</x:v>
      </x:c>
    </x:row>
    <x:row r="70">
      <x:c r="A70" s="26" t="str">
        <x:v>05_EVIDENCE_FACTS</x:v>
      </x:c>
      <x:c r="B70" s="26" t="str">
        <x:v>curb_weight_kg</x:v>
      </x:c>
      <x:c r="C70" s="26" t="str">
        <x:v>Curb/kerb weight</x:v>
      </x:c>
      <x:c r="D70" s="26" t="str">
        <x:v>NUMBER</x:v>
      </x:c>
      <x:c r="E70" s="26" t="str">
        <x:v>SHOULD</x:v>
      </x:c>
      <x:c r="F70" s="26" t="str">
        <x:v>kg</x:v>
      </x:c>
      <x:c r="G70" s="26" t="str">
        <x:v>CONFIGURATION</x:v>
      </x:c>
      <x:c r="H70" s="26" t="str">
        <x:v>See enum lists where applicable</x:v>
      </x:c>
      <x:c r="I70" s="26" t="str"/>
      <x:c r="J70" s="26" t="str">
        <x:v>One atomic fact row; provenance via assertion.</x:v>
      </x:c>
    </x:row>
    <x:row r="71">
      <x:c r="A71" s="26" t="str">
        <x:v>05_EVIDENCE_FACTS</x:v>
      </x:c>
      <x:c r="B71" s="26" t="str">
        <x:v>doors</x:v>
      </x:c>
      <x:c r="C71" s="26" t="str">
        <x:v>Door count</x:v>
      </x:c>
      <x:c r="D71" s="26" t="str">
        <x:v>INTEGER</x:v>
      </x:c>
      <x:c r="E71" s="26" t="str">
        <x:v>SHOULD</x:v>
      </x:c>
      <x:c r="F71" s="26" t="str">
        <x:v>count</x:v>
      </x:c>
      <x:c r="G71" s="26" t="str">
        <x:v>GENERATION</x:v>
      </x:c>
      <x:c r="H71" s="26" t="str">
        <x:v>See enum lists where applicable</x:v>
      </x:c>
      <x:c r="I71" s="26" t="str"/>
      <x:c r="J71" s="26" t="str">
        <x:v>One atomic fact row; provenance via assertion.</x:v>
      </x:c>
    </x:row>
    <x:row r="72">
      <x:c r="A72" s="26" t="str">
        <x:v>05_EVIDENCE_FACTS</x:v>
      </x:c>
      <x:c r="B72" s="26" t="str">
        <x:v>turning_circle_m</x:v>
      </x:c>
      <x:c r="C72" s="26" t="str">
        <x:v>Turning circle</x:v>
      </x:c>
      <x:c r="D72" s="26" t="str">
        <x:v>NUMBER</x:v>
      </x:c>
      <x:c r="E72" s="26" t="str">
        <x:v>SHOULD</x:v>
      </x:c>
      <x:c r="F72" s="26" t="str">
        <x:v>m</x:v>
      </x:c>
      <x:c r="G72" s="26" t="str">
        <x:v>CONFIGURATION</x:v>
      </x:c>
      <x:c r="H72" s="26" t="str">
        <x:v>See enum lists where applicable</x:v>
      </x:c>
      <x:c r="I72" s="26" t="str"/>
      <x:c r="J72" s="26" t="str">
        <x:v>One atomic fact row; provenance via assertion.</x:v>
      </x:c>
    </x:row>
    <x:row r="73">
      <x:c r="A73" s="26" t="str">
        <x:v>05_EVIDENCE_FACTS</x:v>
      </x:c>
      <x:c r="B73" s="26" t="str">
        <x:v>cargo_volume_max_l</x:v>
      </x:c>
      <x:c r="C73" s="26" t="str">
        <x:v>Maximum cargo volume, seats folded</x:v>
      </x:c>
      <x:c r="D73" s="26" t="str">
        <x:v>NUMBER</x:v>
      </x:c>
      <x:c r="E73" s="26" t="str">
        <x:v>SHOULD</x:v>
      </x:c>
      <x:c r="F73" s="26" t="str">
        <x:v>L</x:v>
      </x:c>
      <x:c r="G73" s="26" t="str">
        <x:v>GENERATION</x:v>
      </x:c>
      <x:c r="H73" s="26" t="str">
        <x:v>See enum lists where applicable</x:v>
      </x:c>
      <x:c r="I73" s="26" t="str"/>
      <x:c r="J73" s="26" t="str">
        <x:v>One atomic fact row; provenance via assertion.</x:v>
      </x:c>
    </x:row>
    <x:row r="74">
      <x:c r="A74" s="26" t="str">
        <x:v>05_EVIDENCE_FACTS</x:v>
      </x:c>
      <x:c r="B74" s="26" t="str">
        <x:v>fuel_tank_l</x:v>
      </x:c>
      <x:c r="C74" s="26" t="str">
        <x:v>Fuel tank capacity</x:v>
      </x:c>
      <x:c r="D74" s="26" t="str">
        <x:v>NUMBER</x:v>
      </x:c>
      <x:c r="E74" s="26" t="str">
        <x:v>SHOULD</x:v>
      </x:c>
      <x:c r="F74" s="26" t="str">
        <x:v>L</x:v>
      </x:c>
      <x:c r="G74" s="26" t="str">
        <x:v>POWERTRAIN</x:v>
      </x:c>
      <x:c r="H74" s="26" t="str">
        <x:v>See enum lists where applicable</x:v>
      </x:c>
      <x:c r="I74" s="26" t="str"/>
      <x:c r="J74" s="26" t="str">
        <x:v>One atomic fact row; provenance via assertion.</x:v>
      </x:c>
    </x:row>
    <x:row r="75">
      <x:c r="A75" s="26" t="str">
        <x:v>05_EVIDENCE_FACTS</x:v>
      </x:c>
      <x:c r="B75" s="26" t="str">
        <x:v>battery_gross_kwh</x:v>
      </x:c>
      <x:c r="C75" s="26" t="str">
        <x:v>Gross traction battery capacity</x:v>
      </x:c>
      <x:c r="D75" s="26" t="str">
        <x:v>NUMBER</x:v>
      </x:c>
      <x:c r="E75" s="26" t="str">
        <x:v>SHOULD</x:v>
      </x:c>
      <x:c r="F75" s="26" t="str">
        <x:v>kWh</x:v>
      </x:c>
      <x:c r="G75" s="26" t="str">
        <x:v>POWERTRAIN</x:v>
      </x:c>
      <x:c r="H75" s="26" t="str">
        <x:v>See enum lists where applicable</x:v>
      </x:c>
      <x:c r="I75" s="26" t="str"/>
      <x:c r="J75" s="26" t="str">
        <x:v>One atomic fact row; provenance via assertion.</x:v>
      </x:c>
    </x:row>
    <x:row r="76">
      <x:c r="A76" s="26" t="str">
        <x:v>05_EVIDENCE_FACTS</x:v>
      </x:c>
      <x:c r="B76" s="26" t="str">
        <x:v>battery_usable_kwh</x:v>
      </x:c>
      <x:c r="C76" s="26" t="str">
        <x:v>Usable traction battery capacity</x:v>
      </x:c>
      <x:c r="D76" s="26" t="str">
        <x:v>NUMBER</x:v>
      </x:c>
      <x:c r="E76" s="26" t="str">
        <x:v>SHOULD</x:v>
      </x:c>
      <x:c r="F76" s="26" t="str">
        <x:v>kWh</x:v>
      </x:c>
      <x:c r="G76" s="26" t="str">
        <x:v>POWERTRAIN</x:v>
      </x:c>
      <x:c r="H76" s="26" t="str">
        <x:v>See enum lists where applicable</x:v>
      </x:c>
      <x:c r="I76" s="26" t="str"/>
      <x:c r="J76" s="26" t="str">
        <x:v>One atomic fact row; provenance via assertion.</x:v>
      </x:c>
    </x:row>
    <x:row r="77">
      <x:c r="A77" s="26" t="str">
        <x:v>05_EVIDENCE_FACTS</x:v>
      </x:c>
      <x:c r="B77" s="26" t="str">
        <x:v>max_ac_charge_kw</x:v>
      </x:c>
      <x:c r="C77" s="26" t="str">
        <x:v>Maximum AC charge power</x:v>
      </x:c>
      <x:c r="D77" s="26" t="str">
        <x:v>NUMBER</x:v>
      </x:c>
      <x:c r="E77" s="26" t="str">
        <x:v>SHOULD</x:v>
      </x:c>
      <x:c r="F77" s="26" t="str">
        <x:v>kW</x:v>
      </x:c>
      <x:c r="G77" s="26" t="str">
        <x:v>POWERTRAIN</x:v>
      </x:c>
      <x:c r="H77" s="26" t="str">
        <x:v>See enum lists where applicable</x:v>
      </x:c>
      <x:c r="I77" s="26" t="str"/>
      <x:c r="J77" s="26" t="str">
        <x:v>One atomic fact row; provenance via assertion.</x:v>
      </x:c>
    </x:row>
    <x:row r="78">
      <x:c r="A78" s="26" t="str">
        <x:v>05_EVIDENCE_FACTS</x:v>
      </x:c>
      <x:c r="B78" s="26" t="str">
        <x:v>max_dc_charge_kw</x:v>
      </x:c>
      <x:c r="C78" s="26" t="str">
        <x:v>Maximum DC charge power</x:v>
      </x:c>
      <x:c r="D78" s="26" t="str">
        <x:v>NUMBER</x:v>
      </x:c>
      <x:c r="E78" s="26" t="str">
        <x:v>SHOULD</x:v>
      </x:c>
      <x:c r="F78" s="26" t="str">
        <x:v>kW</x:v>
      </x:c>
      <x:c r="G78" s="26" t="str">
        <x:v>POWERTRAIN</x:v>
      </x:c>
      <x:c r="H78" s="26" t="str">
        <x:v>See enum lists where applicable</x:v>
      </x:c>
      <x:c r="I78" s="26" t="str"/>
      <x:c r="J78" s="26" t="str">
        <x:v>One atomic fact row; provenance via assertion.</x:v>
      </x:c>
    </x:row>
    <x:row r="79">
      <x:c r="A79" s="26" t="str">
        <x:v>05_EVIDENCE_FACTS</x:v>
      </x:c>
      <x:c r="B79" s="26" t="str">
        <x:v>towing_braked_kg</x:v>
      </x:c>
      <x:c r="C79" s="26" t="str">
        <x:v>Braked towing capacity</x:v>
      </x:c>
      <x:c r="D79" s="26" t="str">
        <x:v>NUMBER</x:v>
      </x:c>
      <x:c r="E79" s="26" t="str">
        <x:v>SHOULD</x:v>
      </x:c>
      <x:c r="F79" s="26" t="str">
        <x:v>kg</x:v>
      </x:c>
      <x:c r="G79" s="26" t="str">
        <x:v>CONFIGURATION</x:v>
      </x:c>
      <x:c r="H79" s="26" t="str">
        <x:v>See enum lists where applicable</x:v>
      </x:c>
      <x:c r="I79" s="26" t="str"/>
      <x:c r="J79" s="26" t="str">
        <x:v>One atomic fact row; provenance via assertion.</x:v>
      </x:c>
    </x:row>
    <x:row r="80">
      <x:c r="A80" s="26" t="str">
        <x:v>05_EVIDENCE_FACTS</x:v>
      </x:c>
      <x:c r="B80" s="26" t="str">
        <x:v>towing_unbraked_kg</x:v>
      </x:c>
      <x:c r="C80" s="26" t="str">
        <x:v>Unbraked towing capacity</x:v>
      </x:c>
      <x:c r="D80" s="26" t="str">
        <x:v>NUMBER</x:v>
      </x:c>
      <x:c r="E80" s="26" t="str">
        <x:v>SHOULD</x:v>
      </x:c>
      <x:c r="F80" s="26" t="str">
        <x:v>kg</x:v>
      </x:c>
      <x:c r="G80" s="26" t="str">
        <x:v>CONFIGURATION</x:v>
      </x:c>
      <x:c r="H80" s="26" t="str">
        <x:v>See enum lists where applicable</x:v>
      </x:c>
      <x:c r="I80" s="26" t="str"/>
      <x:c r="J80" s="26" t="str">
        <x:v>One atomic fact row; provenance via assertion.</x:v>
      </x:c>
    </x:row>
    <x:row r="81">
      <x:c r="A81" s="26" t="str">
        <x:v>05_EVIDENCE_FACTS</x:v>
      </x:c>
      <x:c r="B81" s="26" t="str">
        <x:v>acceleration_0_100</x:v>
      </x:c>
      <x:c r="C81" s="26" t="str">
        <x:v>0–100 km/h acceleration</x:v>
      </x:c>
      <x:c r="D81" s="26" t="str">
        <x:v>NUMBER</x:v>
      </x:c>
      <x:c r="E81" s="26" t="str">
        <x:v>NICE_TO_HAVE</x:v>
      </x:c>
      <x:c r="F81" s="26" t="str">
        <x:v>s</x:v>
      </x:c>
      <x:c r="G81" s="26" t="str">
        <x:v>POWERTRAIN</x:v>
      </x:c>
      <x:c r="H81" s="26" t="str">
        <x:v>See enum lists where applicable</x:v>
      </x:c>
      <x:c r="I81" s="26" t="str"/>
      <x:c r="J81" s="26" t="str">
        <x:v>One atomic fact row; provenance via assertion.</x:v>
      </x:c>
    </x:row>
    <x:row r="82">
      <x:c r="A82" s="26" t="str">
        <x:v>05_EVIDENCE_FACTS</x:v>
      </x:c>
      <x:c r="B82" s="26" t="str">
        <x:v>top_speed</x:v>
      </x:c>
      <x:c r="C82" s="26" t="str">
        <x:v>Maximum speed</x:v>
      </x:c>
      <x:c r="D82" s="26" t="str">
        <x:v>NUMBER</x:v>
      </x:c>
      <x:c r="E82" s="26" t="str">
        <x:v>NICE_TO_HAVE</x:v>
      </x:c>
      <x:c r="F82" s="26" t="str">
        <x:v>km/h</x:v>
      </x:c>
      <x:c r="G82" s="26" t="str">
        <x:v>POWERTRAIN</x:v>
      </x:c>
      <x:c r="H82" s="26" t="str">
        <x:v>See enum lists where applicable</x:v>
      </x:c>
      <x:c r="I82" s="26" t="str"/>
      <x:c r="J82" s="26" t="str">
        <x:v>One atomic fact row; provenance via assertion.</x:v>
      </x:c>
    </x:row>
    <x:row r="83">
      <x:c r="A83" s="26" t="str">
        <x:v>05_EVIDENCE_FACTS</x:v>
      </x:c>
      <x:c r="B83" s="26" t="str">
        <x:v>approach_angle</x:v>
      </x:c>
      <x:c r="C83" s="26" t="str">
        <x:v>Approach angle</x:v>
      </x:c>
      <x:c r="D83" s="26" t="str">
        <x:v>NUMBER</x:v>
      </x:c>
      <x:c r="E83" s="26" t="str">
        <x:v>NICE_TO_HAVE</x:v>
      </x:c>
      <x:c r="F83" s="26" t="str">
        <x:v>deg</x:v>
      </x:c>
      <x:c r="G83" s="26" t="str">
        <x:v>CONFIGURATION</x:v>
      </x:c>
      <x:c r="H83" s="26" t="str">
        <x:v>See enum lists where applicable</x:v>
      </x:c>
      <x:c r="I83" s="26" t="str"/>
      <x:c r="J83" s="26" t="str">
        <x:v>One atomic fact row; provenance via assertion.</x:v>
      </x:c>
    </x:row>
    <x:row r="84">
      <x:c r="A84" s="26" t="str">
        <x:v>05_EVIDENCE_FACTS</x:v>
      </x:c>
      <x:c r="B84" s="26" t="str">
        <x:v>departure_angle</x:v>
      </x:c>
      <x:c r="C84" s="26" t="str">
        <x:v>Departure angle</x:v>
      </x:c>
      <x:c r="D84" s="26" t="str">
        <x:v>NUMBER</x:v>
      </x:c>
      <x:c r="E84" s="26" t="str">
        <x:v>NICE_TO_HAVE</x:v>
      </x:c>
      <x:c r="F84" s="26" t="str">
        <x:v>deg</x:v>
      </x:c>
      <x:c r="G84" s="26" t="str">
        <x:v>CONFIGURATION</x:v>
      </x:c>
      <x:c r="H84" s="26" t="str">
        <x:v>See enum lists where applicable</x:v>
      </x:c>
      <x:c r="I84" s="26" t="str"/>
      <x:c r="J84" s="26" t="str">
        <x:v>One atomic fact row; provenance via assertion.</x:v>
      </x:c>
    </x:row>
    <x:row r="85">
      <x:c r="A85" s="26" t="str">
        <x:v>05_EVIDENCE_FACTS</x:v>
      </x:c>
      <x:c r="B85" s="26" t="str">
        <x:v>wading_depth</x:v>
      </x:c>
      <x:c r="C85" s="26" t="str">
        <x:v>Wading depth</x:v>
      </x:c>
      <x:c r="D85" s="26" t="str">
        <x:v>NUMBER</x:v>
      </x:c>
      <x:c r="E85" s="26" t="str">
        <x:v>NICE_TO_HAVE</x:v>
      </x:c>
      <x:c r="F85" s="26" t="str">
        <x:v>mm</x:v>
      </x:c>
      <x:c r="G85" s="26" t="str">
        <x:v>CONFIGURATION</x:v>
      </x:c>
      <x:c r="H85" s="26" t="str">
        <x:v>See enum lists where applicable</x:v>
      </x:c>
      <x:c r="I85" s="26" t="str"/>
      <x:c r="J85" s="26" t="str">
        <x:v>One atomic fact row; provenance via assertion.</x:v>
      </x:c>
    </x:row>
    <x:row r="86">
      <x:c r="A86" s="26" t="str">
        <x:v>05_EVIDENCE_FACTS</x:v>
      </x:c>
      <x:c r="B86" s="26" t="str">
        <x:v>roof_load</x:v>
      </x:c>
      <x:c r="C86" s="26" t="str">
        <x:v>Maximum roof load</x:v>
      </x:c>
      <x:c r="D86" s="26" t="str">
        <x:v>NUMBER</x:v>
      </x:c>
      <x:c r="E86" s="26" t="str">
        <x:v>NICE_TO_HAVE</x:v>
      </x:c>
      <x:c r="F86" s="26" t="str">
        <x:v>kg</x:v>
      </x:c>
      <x:c r="G86" s="26" t="str">
        <x:v>CONFIGURATION</x:v>
      </x:c>
      <x:c r="H86" s="26" t="str">
        <x:v>See enum lists where applicable</x:v>
      </x:c>
      <x:c r="I86" s="26" t="str"/>
      <x:c r="J86" s="26" t="str">
        <x:v>One atomic fact row; provenance via assertion.</x:v>
      </x:c>
    </x:row>
    <x:row r="87">
      <x:c r="A87" s="26" t="str">
        <x:v>05_EVIDENCE_FACTS</x:v>
      </x:c>
      <x:c r="B87" s="26" t="str">
        <x:v>payload</x:v>
      </x:c>
      <x:c r="C87" s="26" t="str">
        <x:v>Payload</x:v>
      </x:c>
      <x:c r="D87" s="26" t="str">
        <x:v>NUMBER</x:v>
      </x:c>
      <x:c r="E87" s="26" t="str">
        <x:v>NICE_TO_HAVE</x:v>
      </x:c>
      <x:c r="F87" s="26" t="str">
        <x:v>kg</x:v>
      </x:c>
      <x:c r="G87" s="26" t="str">
        <x:v>CONFIGURATION</x:v>
      </x:c>
      <x:c r="H87" s="26" t="str">
        <x:v>See enum lists where applicable</x:v>
      </x:c>
      <x:c r="I87" s="26" t="str"/>
      <x:c r="J87" s="26" t="str">
        <x:v>One atomic fact row; provenance via assertion.</x:v>
      </x:c>
    </x:row>
    <x:row r="88">
      <x:c r="A88" s="26" t="str">
        <x:v>06_EQUIPMENT</x:v>
      </x:c>
      <x:c r="B88" s="26" t="str">
        <x:v>aeb</x:v>
      </x:c>
      <x:c r="C88" s="26" t="str">
        <x:v>Automatic emergency braking</x:v>
      </x:c>
      <x:c r="D88" s="26" t="str">
        <x:v>ENUM</x:v>
      </x:c>
      <x:c r="E88" s="26" t="str">
        <x:v>MUST</x:v>
      </x:c>
      <x:c r="F88" s="26" t="str"/>
      <x:c r="G88" s="26" t="str">
        <x:v>CONFIGURATION</x:v>
      </x:c>
      <x:c r="H88" s="26" t="str">
        <x:v>EQUIPMENT_AVAILABILITY</x:v>
      </x:c>
      <x:c r="I88" s="26" t="str"/>
      <x:c r="J88" s="26" t="str">
        <x:v>One row per configuration + equipment_key.</x:v>
      </x:c>
    </x:row>
    <x:row r="89">
      <x:c r="A89" s="26" t="str">
        <x:v>06_EQUIPMENT</x:v>
      </x:c>
      <x:c r="B89" s="26" t="str">
        <x:v>adaptive_cruise_control</x:v>
      </x:c>
      <x:c r="C89" s="26" t="str">
        <x:v>Adaptive cruise control</x:v>
      </x:c>
      <x:c r="D89" s="26" t="str">
        <x:v>ENUM</x:v>
      </x:c>
      <x:c r="E89" s="26" t="str">
        <x:v>MUST</x:v>
      </x:c>
      <x:c r="F89" s="26" t="str"/>
      <x:c r="G89" s="26" t="str">
        <x:v>CONFIGURATION</x:v>
      </x:c>
      <x:c r="H89" s="26" t="str">
        <x:v>EQUIPMENT_AVAILABILITY</x:v>
      </x:c>
      <x:c r="I89" s="26" t="str"/>
      <x:c r="J89" s="26" t="str">
        <x:v>One row per configuration + equipment_key.</x:v>
      </x:c>
    </x:row>
    <x:row r="90">
      <x:c r="A90" s="26" t="str">
        <x:v>06_EQUIPMENT</x:v>
      </x:c>
      <x:c r="B90" s="26" t="str">
        <x:v>lane_departure_warning</x:v>
      </x:c>
      <x:c r="C90" s="26" t="str">
        <x:v>Lane departure warning</x:v>
      </x:c>
      <x:c r="D90" s="26" t="str">
        <x:v>ENUM</x:v>
      </x:c>
      <x:c r="E90" s="26" t="str">
        <x:v>MUST</x:v>
      </x:c>
      <x:c r="F90" s="26" t="str"/>
      <x:c r="G90" s="26" t="str">
        <x:v>CONFIGURATION</x:v>
      </x:c>
      <x:c r="H90" s="26" t="str">
        <x:v>EQUIPMENT_AVAILABILITY</x:v>
      </x:c>
      <x:c r="I90" s="26" t="str"/>
      <x:c r="J90" s="26" t="str">
        <x:v>One row per configuration + equipment_key.</x:v>
      </x:c>
    </x:row>
    <x:row r="91">
      <x:c r="A91" s="26" t="str">
        <x:v>06_EQUIPMENT</x:v>
      </x:c>
      <x:c r="B91" s="26" t="str">
        <x:v>lane_keep_assist</x:v>
      </x:c>
      <x:c r="C91" s="26" t="str">
        <x:v>Lane keeping assist</x:v>
      </x:c>
      <x:c r="D91" s="26" t="str">
        <x:v>ENUM</x:v>
      </x:c>
      <x:c r="E91" s="26" t="str">
        <x:v>MUST</x:v>
      </x:c>
      <x:c r="F91" s="26" t="str"/>
      <x:c r="G91" s="26" t="str">
        <x:v>CONFIGURATION</x:v>
      </x:c>
      <x:c r="H91" s="26" t="str">
        <x:v>EQUIPMENT_AVAILABILITY</x:v>
      </x:c>
      <x:c r="I91" s="26" t="str"/>
      <x:c r="J91" s="26" t="str">
        <x:v>One row per configuration + equipment_key.</x:v>
      </x:c>
    </x:row>
    <x:row r="92">
      <x:c r="A92" s="26" t="str">
        <x:v>06_EQUIPMENT</x:v>
      </x:c>
      <x:c r="B92" s="26" t="str">
        <x:v>blind_spot_monitor</x:v>
      </x:c>
      <x:c r="C92" s="26" t="str">
        <x:v>Blind-spot monitoring</x:v>
      </x:c>
      <x:c r="D92" s="26" t="str">
        <x:v>ENUM</x:v>
      </x:c>
      <x:c r="E92" s="26" t="str">
        <x:v>MUST</x:v>
      </x:c>
      <x:c r="F92" s="26" t="str"/>
      <x:c r="G92" s="26" t="str">
        <x:v>CONFIGURATION</x:v>
      </x:c>
      <x:c r="H92" s="26" t="str">
        <x:v>EQUIPMENT_AVAILABILITY</x:v>
      </x:c>
      <x:c r="I92" s="26" t="str"/>
      <x:c r="J92" s="26" t="str">
        <x:v>One row per configuration + equipment_key.</x:v>
      </x:c>
    </x:row>
    <x:row r="93">
      <x:c r="A93" s="26" t="str">
        <x:v>06_EQUIPMENT</x:v>
      </x:c>
      <x:c r="B93" s="26" t="str">
        <x:v>rear_cross_traffic_alert</x:v>
      </x:c>
      <x:c r="C93" s="26" t="str">
        <x:v>Rear cross-traffic alert</x:v>
      </x:c>
      <x:c r="D93" s="26" t="str">
        <x:v>ENUM</x:v>
      </x:c>
      <x:c r="E93" s="26" t="str">
        <x:v>MUST</x:v>
      </x:c>
      <x:c r="F93" s="26" t="str"/>
      <x:c r="G93" s="26" t="str">
        <x:v>CONFIGURATION</x:v>
      </x:c>
      <x:c r="H93" s="26" t="str">
        <x:v>EQUIPMENT_AVAILABILITY</x:v>
      </x:c>
      <x:c r="I93" s="26" t="str"/>
      <x:c r="J93" s="26" t="str">
        <x:v>One row per configuration + equipment_key.</x:v>
      </x:c>
    </x:row>
    <x:row r="94">
      <x:c r="A94" s="26" t="str">
        <x:v>06_EQUIPMENT</x:v>
      </x:c>
      <x:c r="B94" s="26" t="str">
        <x:v>isofix_rear</x:v>
      </x:c>
      <x:c r="C94" s="26" t="str">
        <x:v>Rear ISOFIX</x:v>
      </x:c>
      <x:c r="D94" s="26" t="str">
        <x:v>ENUM</x:v>
      </x:c>
      <x:c r="E94" s="26" t="str">
        <x:v>MUST</x:v>
      </x:c>
      <x:c r="F94" s="26" t="str"/>
      <x:c r="G94" s="26" t="str">
        <x:v>CONFIGURATION</x:v>
      </x:c>
      <x:c r="H94" s="26" t="str">
        <x:v>EQUIPMENT_AVAILABILITY</x:v>
      </x:c>
      <x:c r="I94" s="26" t="str"/>
      <x:c r="J94" s="26" t="str">
        <x:v>One row per configuration + equipment_key.</x:v>
      </x:c>
    </x:row>
    <x:row r="95">
      <x:c r="A95" s="26" t="str">
        <x:v>06_EQUIPMENT</x:v>
      </x:c>
      <x:c r="B95" s="26" t="str">
        <x:v>isofix_front</x:v>
      </x:c>
      <x:c r="C95" s="26" t="str">
        <x:v>Front ISOFIX</x:v>
      </x:c>
      <x:c r="D95" s="26" t="str">
        <x:v>ENUM</x:v>
      </x:c>
      <x:c r="E95" s="26" t="str">
        <x:v>MUST</x:v>
      </x:c>
      <x:c r="F95" s="26" t="str"/>
      <x:c r="G95" s="26" t="str">
        <x:v>CONFIGURATION</x:v>
      </x:c>
      <x:c r="H95" s="26" t="str">
        <x:v>EQUIPMENT_AVAILABILITY</x:v>
      </x:c>
      <x:c r="I95" s="26" t="str"/>
      <x:c r="J95" s="26" t="str">
        <x:v>One row per configuration + equipment_key.</x:v>
      </x:c>
    </x:row>
    <x:row r="96">
      <x:c r="A96" s="26" t="str">
        <x:v>06_EQUIPMENT</x:v>
      </x:c>
      <x:c r="B96" s="26" t="str">
        <x:v>parking_sensors_rear</x:v>
      </x:c>
      <x:c r="C96" s="26" t="str">
        <x:v>Rear parking sensors</x:v>
      </x:c>
      <x:c r="D96" s="26" t="str">
        <x:v>ENUM</x:v>
      </x:c>
      <x:c r="E96" s="26" t="str">
        <x:v>MUST</x:v>
      </x:c>
      <x:c r="F96" s="26" t="str"/>
      <x:c r="G96" s="26" t="str">
        <x:v>CONFIGURATION</x:v>
      </x:c>
      <x:c r="H96" s="26" t="str">
        <x:v>EQUIPMENT_AVAILABILITY</x:v>
      </x:c>
      <x:c r="I96" s="26" t="str"/>
      <x:c r="J96" s="26" t="str">
        <x:v>One row per configuration + equipment_key.</x:v>
      </x:c>
    </x:row>
    <x:row r="97">
      <x:c r="A97" s="26" t="str">
        <x:v>06_EQUIPMENT</x:v>
      </x:c>
      <x:c r="B97" s="26" t="str">
        <x:v>parking_sensors_front</x:v>
      </x:c>
      <x:c r="C97" s="26" t="str">
        <x:v>Front parking sensors</x:v>
      </x:c>
      <x:c r="D97" s="26" t="str">
        <x:v>ENUM</x:v>
      </x:c>
      <x:c r="E97" s="26" t="str">
        <x:v>MUST</x:v>
      </x:c>
      <x:c r="F97" s="26" t="str"/>
      <x:c r="G97" s="26" t="str">
        <x:v>CONFIGURATION</x:v>
      </x:c>
      <x:c r="H97" s="26" t="str">
        <x:v>EQUIPMENT_AVAILABILITY</x:v>
      </x:c>
      <x:c r="I97" s="26" t="str"/>
      <x:c r="J97" s="26" t="str">
        <x:v>One row per configuration + equipment_key.</x:v>
      </x:c>
    </x:row>
    <x:row r="98">
      <x:c r="A98" s="26" t="str">
        <x:v>06_EQUIPMENT</x:v>
      </x:c>
      <x:c r="B98" s="26" t="str">
        <x:v>reversing_camera</x:v>
      </x:c>
      <x:c r="C98" s="26" t="str">
        <x:v>Reversing camera</x:v>
      </x:c>
      <x:c r="D98" s="26" t="str">
        <x:v>ENUM</x:v>
      </x:c>
      <x:c r="E98" s="26" t="str">
        <x:v>MUST</x:v>
      </x:c>
      <x:c r="F98" s="26" t="str"/>
      <x:c r="G98" s="26" t="str">
        <x:v>CONFIGURATION</x:v>
      </x:c>
      <x:c r="H98" s="26" t="str">
        <x:v>EQUIPMENT_AVAILABILITY</x:v>
      </x:c>
      <x:c r="I98" s="26" t="str"/>
      <x:c r="J98" s="26" t="str">
        <x:v>One row per configuration + equipment_key.</x:v>
      </x:c>
    </x:row>
    <x:row r="99">
      <x:c r="A99" s="26" t="str">
        <x:v>06_EQUIPMENT</x:v>
      </x:c>
      <x:c r="B99" s="26" t="str">
        <x:v>camera_360</x:v>
      </x:c>
      <x:c r="C99" s="26" t="str">
        <x:v>360 camera</x:v>
      </x:c>
      <x:c r="D99" s="26" t="str">
        <x:v>ENUM</x:v>
      </x:c>
      <x:c r="E99" s="26" t="str">
        <x:v>MUST</x:v>
      </x:c>
      <x:c r="F99" s="26" t="str"/>
      <x:c r="G99" s="26" t="str">
        <x:v>CONFIGURATION</x:v>
      </x:c>
      <x:c r="H99" s="26" t="str">
        <x:v>EQUIPMENT_AVAILABILITY</x:v>
      </x:c>
      <x:c r="I99" s="26" t="str"/>
      <x:c r="J99" s="26" t="str">
        <x:v>One row per configuration + equipment_key.</x:v>
      </x:c>
    </x:row>
    <x:row r="100">
      <x:c r="A100" s="26" t="str">
        <x:v>06_EQUIPMENT</x:v>
      </x:c>
      <x:c r="B100" s="26" t="str">
        <x:v>apple_carplay</x:v>
      </x:c>
      <x:c r="C100" s="26" t="str">
        <x:v>Apple CarPlay</x:v>
      </x:c>
      <x:c r="D100" s="26" t="str">
        <x:v>ENUM</x:v>
      </x:c>
      <x:c r="E100" s="26" t="str">
        <x:v>MUST</x:v>
      </x:c>
      <x:c r="F100" s="26" t="str"/>
      <x:c r="G100" s="26" t="str">
        <x:v>CONFIGURATION</x:v>
      </x:c>
      <x:c r="H100" s="26" t="str">
        <x:v>EQUIPMENT_AVAILABILITY</x:v>
      </x:c>
      <x:c r="I100" s="26" t="str"/>
      <x:c r="J100" s="26" t="str">
        <x:v>One row per configuration + equipment_key.</x:v>
      </x:c>
    </x:row>
    <x:row r="101">
      <x:c r="A101" s="26" t="str">
        <x:v>06_EQUIPMENT</x:v>
      </x:c>
      <x:c r="B101" s="26" t="str">
        <x:v>android_auto</x:v>
      </x:c>
      <x:c r="C101" s="26" t="str">
        <x:v>Android Auto</x:v>
      </x:c>
      <x:c r="D101" s="26" t="str">
        <x:v>ENUM</x:v>
      </x:c>
      <x:c r="E101" s="26" t="str">
        <x:v>MUST</x:v>
      </x:c>
      <x:c r="F101" s="26" t="str"/>
      <x:c r="G101" s="26" t="str">
        <x:v>CONFIGURATION</x:v>
      </x:c>
      <x:c r="H101" s="26" t="str">
        <x:v>EQUIPMENT_AVAILABILITY</x:v>
      </x:c>
      <x:c r="I101" s="26" t="str"/>
      <x:c r="J101" s="26" t="str">
        <x:v>One row per configuration + equipment_key.</x:v>
      </x:c>
    </x:row>
    <x:row r="102">
      <x:c r="A102" s="26" t="str">
        <x:v>06_EQUIPMENT</x:v>
      </x:c>
      <x:c r="B102" s="26" t="str">
        <x:v>automatic_climate_control</x:v>
      </x:c>
      <x:c r="C102" s="26" t="str">
        <x:v>Automatic climate control</x:v>
      </x:c>
      <x:c r="D102" s="26" t="str">
        <x:v>ENUM</x:v>
      </x:c>
      <x:c r="E102" s="26" t="str">
        <x:v>SHOULD</x:v>
      </x:c>
      <x:c r="F102" s="26" t="str"/>
      <x:c r="G102" s="26" t="str">
        <x:v>CONFIGURATION</x:v>
      </x:c>
      <x:c r="H102" s="26" t="str">
        <x:v>EQUIPMENT_AVAILABILITY</x:v>
      </x:c>
      <x:c r="I102" s="26" t="str"/>
      <x:c r="J102" s="26" t="str">
        <x:v>One row per configuration + equipment_key.</x:v>
      </x:c>
    </x:row>
    <x:row r="103">
      <x:c r="A103" s="26" t="str">
        <x:v>06_EQUIPMENT</x:v>
      </x:c>
      <x:c r="B103" s="26" t="str">
        <x:v>heated_front_seats</x:v>
      </x:c>
      <x:c r="C103" s="26" t="str">
        <x:v>Heated front seats</x:v>
      </x:c>
      <x:c r="D103" s="26" t="str">
        <x:v>ENUM</x:v>
      </x:c>
      <x:c r="E103" s="26" t="str">
        <x:v>SHOULD</x:v>
      </x:c>
      <x:c r="F103" s="26" t="str"/>
      <x:c r="G103" s="26" t="str">
        <x:v>CONFIGURATION</x:v>
      </x:c>
      <x:c r="H103" s="26" t="str">
        <x:v>EQUIPMENT_AVAILABILITY</x:v>
      </x:c>
      <x:c r="I103" s="26" t="str"/>
      <x:c r="J103" s="26" t="str">
        <x:v>One row per configuration + equipment_key.</x:v>
      </x:c>
    </x:row>
    <x:row r="104">
      <x:c r="A104" s="26" t="str">
        <x:v>06_EQUIPMENT</x:v>
      </x:c>
      <x:c r="B104" s="26" t="str">
        <x:v>ventilated_front_seats</x:v>
      </x:c>
      <x:c r="C104" s="26" t="str">
        <x:v>Ventilated front seats</x:v>
      </x:c>
      <x:c r="D104" s="26" t="str">
        <x:v>ENUM</x:v>
      </x:c>
      <x:c r="E104" s="26" t="str">
        <x:v>SHOULD</x:v>
      </x:c>
      <x:c r="F104" s="26" t="str"/>
      <x:c r="G104" s="26" t="str">
        <x:v>CONFIGURATION</x:v>
      </x:c>
      <x:c r="H104" s="26" t="str">
        <x:v>EQUIPMENT_AVAILABILITY</x:v>
      </x:c>
      <x:c r="I104" s="26" t="str"/>
      <x:c r="J104" s="26" t="str">
        <x:v>One row per configuration + equipment_key.</x:v>
      </x:c>
    </x:row>
    <x:row r="105">
      <x:c r="A105" s="26" t="str">
        <x:v>06_EQUIPMENT</x:v>
      </x:c>
      <x:c r="B105" s="26" t="str">
        <x:v>powered_tailgate</x:v>
      </x:c>
      <x:c r="C105" s="26" t="str">
        <x:v>Powered tailgate</x:v>
      </x:c>
      <x:c r="D105" s="26" t="str">
        <x:v>ENUM</x:v>
      </x:c>
      <x:c r="E105" s="26" t="str">
        <x:v>SHOULD</x:v>
      </x:c>
      <x:c r="F105" s="26" t="str"/>
      <x:c r="G105" s="26" t="str">
        <x:v>CONFIGURATION</x:v>
      </x:c>
      <x:c r="H105" s="26" t="str">
        <x:v>EQUIPMENT_AVAILABILITY</x:v>
      </x:c>
      <x:c r="I105" s="26" t="str"/>
      <x:c r="J105" s="26" t="str">
        <x:v>One row per configuration + equipment_key.</x:v>
      </x:c>
    </x:row>
    <x:row r="106">
      <x:c r="A106" s="26" t="str">
        <x:v>06_EQUIPMENT</x:v>
      </x:c>
      <x:c r="B106" s="26" t="str">
        <x:v>keyless_entry</x:v>
      </x:c>
      <x:c r="C106" s="26" t="str">
        <x:v>Keyless entry</x:v>
      </x:c>
      <x:c r="D106" s="26" t="str">
        <x:v>ENUM</x:v>
      </x:c>
      <x:c r="E106" s="26" t="str">
        <x:v>SHOULD</x:v>
      </x:c>
      <x:c r="F106" s="26" t="str"/>
      <x:c r="G106" s="26" t="str">
        <x:v>CONFIGURATION</x:v>
      </x:c>
      <x:c r="H106" s="26" t="str">
        <x:v>EQUIPMENT_AVAILABILITY</x:v>
      </x:c>
      <x:c r="I106" s="26" t="str"/>
      <x:c r="J106" s="26" t="str">
        <x:v>One row per configuration + equipment_key.</x:v>
      </x:c>
    </x:row>
    <x:row r="107">
      <x:c r="A107" s="26" t="str">
        <x:v>07_SAFETY</x:v>
      </x:c>
      <x:c r="B107" s="26" t="str">
        <x:v>safety_id</x:v>
      </x:c>
      <x:c r="C107" s="26" t="str">
        <x:v>Immutable safety assessment ID.</x:v>
      </x:c>
      <x:c r="D107" s="26" t="str">
        <x:v>ID</x:v>
      </x:c>
      <x:c r="E107" s="26" t="str">
        <x:v>MUST</x:v>
      </x:c>
      <x:c r="F107" s="26" t="str"/>
      <x:c r="G107" s="26" t="str"/>
      <x:c r="H107" s="26" t="str"/>
      <x:c r="I107" s="26" t="str"/>
      <x:c r="J107" s="26" t="str"/>
    </x:row>
    <x:row r="108">
      <x:c r="A108" s="26" t="str">
        <x:v>07_SAFETY</x:v>
      </x:c>
      <x:c r="B108" s="26" t="str">
        <x:v>generation_id</x:v>
      </x:c>
      <x:c r="C108" s="26" t="str">
        <x:v>FK to generation.</x:v>
      </x:c>
      <x:c r="D108" s="26" t="str">
        <x:v>FK</x:v>
      </x:c>
      <x:c r="E108" s="26" t="str">
        <x:v>MUST</x:v>
      </x:c>
      <x:c r="F108" s="26" t="str"/>
      <x:c r="G108" s="26" t="str"/>
      <x:c r="H108" s="26" t="str"/>
      <x:c r="I108" s="26" t="str"/>
      <x:c r="J108" s="26" t="str"/>
    </x:row>
    <x:row r="109">
      <x:c r="A109" s="26" t="str">
        <x:v>07_SAFETY</x:v>
      </x:c>
      <x:c r="B109" s="26" t="str">
        <x:v>assessment_body</x:v>
      </x:c>
      <x:c r="C109" s="26" t="str">
        <x:v>Assessment organization.</x:v>
      </x:c>
      <x:c r="D109" s="26" t="str">
        <x:v>ENUM</x:v>
      </x:c>
      <x:c r="E109" s="26" t="str">
        <x:v>MUST</x:v>
      </x:c>
      <x:c r="F109" s="26" t="str"/>
      <x:c r="G109" s="26" t="str"/>
      <x:c r="H109" s="26" t="str">
        <x:v>ASSESSMENT_BODY</x:v>
      </x:c>
      <x:c r="I109" s="26" t="str"/>
      <x:c r="J109" s="26" t="str"/>
    </x:row>
    <x:row r="110">
      <x:c r="A110" s="26" t="str">
        <x:v>07_SAFETY</x:v>
      </x:c>
      <x:c r="B110" s="26" t="str">
        <x:v>assessment_year</x:v>
      </x:c>
      <x:c r="C110" s="26" t="str">
        <x:v>Assessment year.</x:v>
      </x:c>
      <x:c r="D110" s="26" t="str">
        <x:v>INTEGER</x:v>
      </x:c>
      <x:c r="E110" s="26" t="str">
        <x:v>MUST</x:v>
      </x:c>
      <x:c r="F110" s="26" t="str"/>
      <x:c r="G110" s="26" t="str"/>
      <x:c r="H110" s="26" t="str"/>
      <x:c r="I110" s="26" t="str"/>
      <x:c r="J110" s="26" t="str"/>
    </x:row>
    <x:row r="111">
      <x:c r="A111" s="26" t="str">
        <x:v>07_SAFETY</x:v>
      </x:c>
      <x:c r="B111" s="26" t="str">
        <x:v>overall_rating</x:v>
      </x:c>
      <x:c r="C111" s="26" t="str">
        <x:v>Overall rating/stars where applicable.</x:v>
      </x:c>
      <x:c r="D111" s="26" t="str">
        <x:v>NUMBER</x:v>
      </x:c>
      <x:c r="E111" s="26" t="str">
        <x:v>SHOULD</x:v>
      </x:c>
      <x:c r="F111" s="26" t="str"/>
      <x:c r="G111" s="26" t="str"/>
      <x:c r="H111" s="26" t="str"/>
      <x:c r="I111" s="26" t="str"/>
      <x:c r="J111" s="26" t="str"/>
    </x:row>
    <x:row r="112">
      <x:c r="A112" s="26" t="str">
        <x:v>07_SAFETY</x:v>
      </x:c>
      <x:c r="B112" s="26" t="str">
        <x:v>adult_occupant_score</x:v>
      </x:c>
      <x:c r="C112" s="26" t="str">
        <x:v>Adult occupant score.</x:v>
      </x:c>
      <x:c r="D112" s="26" t="str">
        <x:v>NUMBER</x:v>
      </x:c>
      <x:c r="E112" s="26" t="str">
        <x:v>SHOULD</x:v>
      </x:c>
      <x:c r="F112" s="26" t="str"/>
      <x:c r="G112" s="26" t="str"/>
      <x:c r="H112" s="26" t="str"/>
      <x:c r="I112" s="26" t="str"/>
      <x:c r="J112" s="26" t="str"/>
    </x:row>
    <x:row r="113">
      <x:c r="A113" s="26" t="str">
        <x:v>07_SAFETY</x:v>
      </x:c>
      <x:c r="B113" s="26" t="str">
        <x:v>child_occupant_score</x:v>
      </x:c>
      <x:c r="C113" s="26" t="str">
        <x:v>Child occupant score.</x:v>
      </x:c>
      <x:c r="D113" s="26" t="str">
        <x:v>NUMBER</x:v>
      </x:c>
      <x:c r="E113" s="26" t="str">
        <x:v>SHOULD</x:v>
      </x:c>
      <x:c r="F113" s="26" t="str"/>
      <x:c r="G113" s="26" t="str"/>
      <x:c r="H113" s="26" t="str"/>
      <x:c r="I113" s="26" t="str"/>
      <x:c r="J113" s="26" t="str"/>
    </x:row>
    <x:row r="114">
      <x:c r="A114" s="26" t="str">
        <x:v>07_SAFETY</x:v>
      </x:c>
      <x:c r="B114" s="26" t="str">
        <x:v>vulnerable_road_user_score</x:v>
      </x:c>
      <x:c r="C114" s="26" t="str">
        <x:v>Vulnerable road user score.</x:v>
      </x:c>
      <x:c r="D114" s="26" t="str">
        <x:v>NUMBER</x:v>
      </x:c>
      <x:c r="E114" s="26" t="str">
        <x:v>SHOULD</x:v>
      </x:c>
      <x:c r="F114" s="26" t="str"/>
      <x:c r="G114" s="26" t="str"/>
      <x:c r="H114" s="26" t="str"/>
      <x:c r="I114" s="26" t="str"/>
      <x:c r="J114" s="26" t="str"/>
    </x:row>
    <x:row r="115">
      <x:c r="A115" s="26" t="str">
        <x:v>07_SAFETY</x:v>
      </x:c>
      <x:c r="B115" s="26" t="str">
        <x:v>safety_assist_score</x:v>
      </x:c>
      <x:c r="C115" s="26" t="str">
        <x:v>Safety assist score.</x:v>
      </x:c>
      <x:c r="D115" s="26" t="str">
        <x:v>NUMBER</x:v>
      </x:c>
      <x:c r="E115" s="26" t="str">
        <x:v>SHOULD</x:v>
      </x:c>
      <x:c r="F115" s="26" t="str"/>
      <x:c r="G115" s="26" t="str"/>
      <x:c r="H115" s="26" t="str"/>
      <x:c r="I115" s="26" t="str"/>
      <x:c r="J115" s="26" t="str"/>
    </x:row>
    <x:row r="116">
      <x:c r="A116" s="26" t="str">
        <x:v>07_SAFETY</x:v>
      </x:c>
      <x:c r="B116" s="26" t="str">
        <x:v>applicability_status</x:v>
      </x:c>
      <x:c r="C116" s="26" t="str">
        <x:v>Assessment applicability.</x:v>
      </x:c>
      <x:c r="D116" s="26" t="str">
        <x:v>ENUM</x:v>
      </x:c>
      <x:c r="E116" s="26" t="str">
        <x:v>MUST</x:v>
      </x:c>
      <x:c r="F116" s="26" t="str"/>
      <x:c r="G116" s="26" t="str"/>
      <x:c r="H116" s="26" t="str">
        <x:v>APPLICABILITY_STATUS</x:v>
      </x:c>
      <x:c r="I116" s="26" t="str"/>
      <x:c r="J116" s="26" t="str"/>
    </x:row>
    <x:row r="117">
      <x:c r="A117" s="26" t="str">
        <x:v>07_SAFETY</x:v>
      </x:c>
      <x:c r="B117" s="26" t="str">
        <x:v>notes</x:v>
      </x:c>
      <x:c r="C117" s="26" t="str">
        <x:v>Notes.</x:v>
      </x:c>
      <x:c r="D117" s="26" t="str">
        <x:v>TEXT</x:v>
      </x:c>
      <x:c r="E117" s="26" t="str">
        <x:v>NICE_TO_HAVE</x:v>
      </x:c>
      <x:c r="F117" s="26" t="str"/>
      <x:c r="G117" s="26" t="str"/>
      <x:c r="H117" s="26" t="str"/>
      <x:c r="I117" s="26" t="str"/>
      <x:c r="J117" s="26" t="str"/>
    </x:row>
    <x:row r="118">
      <x:c r="A118" s="26" t="str">
        <x:v>08_SOURCES</x:v>
      </x:c>
      <x:c r="B118" s="26" t="str">
        <x:v>source_id</x:v>
      </x:c>
      <x:c r="C118" s="26" t="str">
        <x:v>Immutable source ID.</x:v>
      </x:c>
      <x:c r="D118" s="26" t="str">
        <x:v>ID</x:v>
      </x:c>
      <x:c r="E118" s="26" t="str">
        <x:v>MUST</x:v>
      </x:c>
      <x:c r="F118" s="26" t="str"/>
      <x:c r="G118" s="26" t="str"/>
      <x:c r="H118" s="26" t="str"/>
      <x:c r="I118" s="26" t="str"/>
      <x:c r="J118" s="26" t="str"/>
    </x:row>
    <x:row r="119">
      <x:c r="A119" s="26" t="str">
        <x:v>08_SOURCES</x:v>
      </x:c>
      <x:c r="B119" s="26" t="str">
        <x:v>publisher</x:v>
      </x:c>
      <x:c r="C119" s="26" t="str">
        <x:v>Publisher/owner.</x:v>
      </x:c>
      <x:c r="D119" s="26" t="str">
        <x:v>TEXT</x:v>
      </x:c>
      <x:c r="E119" s="26" t="str">
        <x:v>MUST</x:v>
      </x:c>
      <x:c r="F119" s="26" t="str"/>
      <x:c r="G119" s="26" t="str"/>
      <x:c r="H119" s="26" t="str"/>
      <x:c r="I119" s="26" t="str"/>
      <x:c r="J119" s="26" t="str"/>
    </x:row>
    <x:row r="120">
      <x:c r="A120" s="26" t="str">
        <x:v>08_SOURCES</x:v>
      </x:c>
      <x:c r="B120" s="26" t="str">
        <x:v>source_title</x:v>
      </x:c>
      <x:c r="C120" s="26" t="str">
        <x:v>Document/page title.</x:v>
      </x:c>
      <x:c r="D120" s="26" t="str">
        <x:v>TEXT</x:v>
      </x:c>
      <x:c r="E120" s="26" t="str">
        <x:v>MUST</x:v>
      </x:c>
      <x:c r="F120" s="26" t="str"/>
      <x:c r="G120" s="26" t="str"/>
      <x:c r="H120" s="26" t="str"/>
      <x:c r="I120" s="26" t="str"/>
      <x:c r="J120" s="26" t="str"/>
    </x:row>
    <x:row r="121">
      <x:c r="A121" s="26" t="str">
        <x:v>08_SOURCES</x:v>
      </x:c>
      <x:c r="B121" s="26" t="str">
        <x:v>source_type</x:v>
      </x:c>
      <x:c r="C121" s="26" t="str">
        <x:v>Source category.</x:v>
      </x:c>
      <x:c r="D121" s="26" t="str">
        <x:v>ENUM</x:v>
      </x:c>
      <x:c r="E121" s="26" t="str">
        <x:v>MUST</x:v>
      </x:c>
      <x:c r="F121" s="26" t="str"/>
      <x:c r="G121" s="26" t="str"/>
      <x:c r="H121" s="26" t="str">
        <x:v>SOURCE_TYPE</x:v>
      </x:c>
      <x:c r="I121" s="26" t="str"/>
      <x:c r="J121" s="26" t="str"/>
    </x:row>
    <x:row r="122">
      <x:c r="A122" s="26" t="str">
        <x:v>08_SOURCES</x:v>
      </x:c>
      <x:c r="B122" s="26" t="str">
        <x:v>source_url</x:v>
      </x:c>
      <x:c r="C122" s="26" t="str">
        <x:v>Plain-text source URL.</x:v>
      </x:c>
      <x:c r="D122" s="26" t="str">
        <x:v>URL</x:v>
      </x:c>
      <x:c r="E122" s="26" t="str">
        <x:v>MUST</x:v>
      </x:c>
      <x:c r="F122" s="26" t="str"/>
      <x:c r="G122" s="26" t="str"/>
      <x:c r="H122" s="26" t="str"/>
      <x:c r="I122" s="26" t="str"/>
      <x:c r="J122" s="26" t="str"/>
    </x:row>
    <x:row r="123">
      <x:c r="A123" s="26" t="str">
        <x:v>08_SOURCES</x:v>
      </x:c>
      <x:c r="B123" s="26" t="str">
        <x:v>market</x:v>
      </x:c>
      <x:c r="C123" s="26" t="str">
        <x:v>Market scope.</x:v>
      </x:c>
      <x:c r="D123" s="26" t="str">
        <x:v>ENUM</x:v>
      </x:c>
      <x:c r="E123" s="26" t="str">
        <x:v>SHOULD</x:v>
      </x:c>
      <x:c r="F123" s="26" t="str"/>
      <x:c r="G123" s="26" t="str"/>
      <x:c r="H123" s="26" t="str">
        <x:v>MARKET</x:v>
      </x:c>
      <x:c r="I123" s="26" t="str"/>
      <x:c r="J123" s="26" t="str"/>
    </x:row>
    <x:row r="124">
      <x:c r="A124" s="26" t="str">
        <x:v>08_SOURCES</x:v>
      </x:c>
      <x:c r="B124" s="26" t="str">
        <x:v>publication_date</x:v>
      </x:c>
      <x:c r="C124" s="26" t="str">
        <x:v>Publication date.</x:v>
      </x:c>
      <x:c r="D124" s="26" t="str">
        <x:v>DATE</x:v>
      </x:c>
      <x:c r="E124" s="26" t="str">
        <x:v>SHOULD</x:v>
      </x:c>
      <x:c r="F124" s="26" t="str"/>
      <x:c r="G124" s="26" t="str"/>
      <x:c r="H124" s="26" t="str"/>
      <x:c r="I124" s="26" t="str"/>
      <x:c r="J124" s="26" t="str"/>
    </x:row>
    <x:row r="125">
      <x:c r="A125" s="26" t="str">
        <x:v>08_SOURCES</x:v>
      </x:c>
      <x:c r="B125" s="26" t="str">
        <x:v>retrieved_at</x:v>
      </x:c>
      <x:c r="C125" s="26" t="str">
        <x:v>Retrieval date.</x:v>
      </x:c>
      <x:c r="D125" s="26" t="str">
        <x:v>DATE</x:v>
      </x:c>
      <x:c r="E125" s="26" t="str">
        <x:v>MUST</x:v>
      </x:c>
      <x:c r="F125" s="26" t="str"/>
      <x:c r="G125" s="26" t="str"/>
      <x:c r="H125" s="26" t="str"/>
      <x:c r="I125" s="26" t="str"/>
      <x:c r="J125" s="26" t="str"/>
    </x:row>
    <x:row r="126">
      <x:c r="A126" s="26" t="str">
        <x:v>08_SOURCES</x:v>
      </x:c>
      <x:c r="B126" s="26" t="str">
        <x:v>authority_class</x:v>
      </x:c>
      <x:c r="C126" s="26" t="str">
        <x:v>Source authority class.</x:v>
      </x:c>
      <x:c r="D126" s="26" t="str">
        <x:v>ENUM</x:v>
      </x:c>
      <x:c r="E126" s="26" t="str">
        <x:v>MUST</x:v>
      </x:c>
      <x:c r="F126" s="26" t="str"/>
      <x:c r="G126" s="26" t="str"/>
      <x:c r="H126" s="26" t="str">
        <x:v>AUTHORITY_CLASS</x:v>
      </x:c>
      <x:c r="I126" s="26" t="str"/>
      <x:c r="J126" s="26" t="str"/>
    </x:row>
    <x:row r="127">
      <x:c r="A127" s="26" t="str">
        <x:v>08_SOURCES</x:v>
      </x:c>
      <x:c r="B127" s="26" t="str">
        <x:v>source_status</x:v>
      </x:c>
      <x:c r="C127" s="26" t="str">
        <x:v>Source lifecycle/status.</x:v>
      </x:c>
      <x:c r="D127" s="26" t="str">
        <x:v>ENUM</x:v>
      </x:c>
      <x:c r="E127" s="26" t="str">
        <x:v>MUST</x:v>
      </x:c>
      <x:c r="F127" s="26" t="str"/>
      <x:c r="G127" s="26" t="str"/>
      <x:c r="H127" s="26" t="str">
        <x:v>SOURCE_STATUS</x:v>
      </x:c>
      <x:c r="I127" s="26" t="str"/>
      <x:c r="J127" s="26" t="str"/>
    </x:row>
    <x:row r="128">
      <x:c r="A128" s="26" t="str">
        <x:v>08_SOURCES</x:v>
      </x:c>
      <x:c r="B128" s="26" t="str">
        <x:v>notes</x:v>
      </x:c>
      <x:c r="C128" s="26" t="str">
        <x:v>Notes.</x:v>
      </x:c>
      <x:c r="D128" s="26" t="str">
        <x:v>TEXT</x:v>
      </x:c>
      <x:c r="E128" s="26" t="str">
        <x:v>NICE_TO_HAVE</x:v>
      </x:c>
      <x:c r="F128" s="26" t="str"/>
      <x:c r="G128" s="26" t="str"/>
      <x:c r="H128" s="26" t="str"/>
      <x:c r="I128" s="26" t="str"/>
      <x:c r="J128" s="26" t="str"/>
    </x:row>
    <x:row r="129">
      <x:c r="A129" s="26" t="str">
        <x:v>09_ASSERTIONS</x:v>
      </x:c>
      <x:c r="B129" s="26" t="str">
        <x:v>assertion_id</x:v>
      </x:c>
      <x:c r="C129" s="26" t="str">
        <x:v>Immutable assertion ID.</x:v>
      </x:c>
      <x:c r="D129" s="26" t="str">
        <x:v>ID</x:v>
      </x:c>
      <x:c r="E129" s="26" t="str">
        <x:v>MUST</x:v>
      </x:c>
      <x:c r="F129" s="26" t="str"/>
      <x:c r="G129" s="26" t="str"/>
      <x:c r="H129" s="26" t="str"/>
      <x:c r="I129" s="26" t="str"/>
      <x:c r="J129" s="26" t="str"/>
    </x:row>
    <x:row r="130">
      <x:c r="A130" s="26" t="str">
        <x:v>09_ASSERTIONS</x:v>
      </x:c>
      <x:c r="B130" s="26" t="str">
        <x:v>evidence_type</x:v>
      </x:c>
      <x:c r="C130" s="26" t="str">
        <x:v>Evidence entity class.</x:v>
      </x:c>
      <x:c r="D130" s="26" t="str">
        <x:v>ENUM</x:v>
      </x:c>
      <x:c r="E130" s="26" t="str">
        <x:v>MUST</x:v>
      </x:c>
      <x:c r="F130" s="26" t="str"/>
      <x:c r="G130" s="26" t="str"/>
      <x:c r="H130" s="26" t="str">
        <x:v>EVIDENCE_TYPE</x:v>
      </x:c>
      <x:c r="I130" s="26" t="str"/>
      <x:c r="J130" s="26" t="str"/>
    </x:row>
    <x:row r="131">
      <x:c r="A131" s="26" t="str">
        <x:v>09_ASSERTIONS</x:v>
      </x:c>
      <x:c r="B131" s="26" t="str">
        <x:v>evidence_id</x:v>
      </x:c>
      <x:c r="C131" s="26" t="str">
        <x:v>FK to evidence row.</x:v>
      </x:c>
      <x:c r="D131" s="26" t="str">
        <x:v>FK</x:v>
      </x:c>
      <x:c r="E131" s="26" t="str">
        <x:v>MUST</x:v>
      </x:c>
      <x:c r="F131" s="26" t="str"/>
      <x:c r="G131" s="26" t="str"/>
      <x:c r="H131" s="26" t="str"/>
      <x:c r="I131" s="26" t="str"/>
      <x:c r="J131" s="26" t="str"/>
    </x:row>
    <x:row r="132">
      <x:c r="A132" s="26" t="str">
        <x:v>09_ASSERTIONS</x:v>
      </x:c>
      <x:c r="B132" s="26" t="str">
        <x:v>source_id</x:v>
      </x:c>
      <x:c r="C132" s="26" t="str">
        <x:v>FK to source.</x:v>
      </x:c>
      <x:c r="D132" s="26" t="str">
        <x:v>FK</x:v>
      </x:c>
      <x:c r="E132" s="26" t="str">
        <x:v>MUST</x:v>
      </x:c>
      <x:c r="F132" s="26" t="str"/>
      <x:c r="G132" s="26" t="str"/>
      <x:c r="H132" s="26" t="str"/>
      <x:c r="I132" s="26" t="str"/>
      <x:c r="J132" s="26" t="str"/>
    </x:row>
    <x:row r="133">
      <x:c r="A133" s="26" t="str">
        <x:v>09_ASSERTIONS</x:v>
      </x:c>
      <x:c r="B133" s="26" t="str">
        <x:v>source_location</x:v>
      </x:c>
      <x:c r="C133" s="26" t="str">
        <x:v>Page/table/section/anchor.</x:v>
      </x:c>
      <x:c r="D133" s="26" t="str">
        <x:v>TEXT</x:v>
      </x:c>
      <x:c r="E133" s="26" t="str">
        <x:v>SHOULD</x:v>
      </x:c>
      <x:c r="F133" s="26" t="str"/>
      <x:c r="G133" s="26" t="str"/>
      <x:c r="H133" s="26" t="str"/>
      <x:c r="I133" s="26" t="str"/>
      <x:c r="J133" s="26" t="str"/>
    </x:row>
    <x:row r="134">
      <x:c r="A134" s="26" t="str">
        <x:v>09_ASSERTIONS</x:v>
      </x:c>
      <x:c r="B134" s="26" t="str">
        <x:v>extraction_method</x:v>
      </x:c>
      <x:c r="C134" s="26" t="str">
        <x:v>How value was extracted.</x:v>
      </x:c>
      <x:c r="D134" s="26" t="str">
        <x:v>ENUM</x:v>
      </x:c>
      <x:c r="E134" s="26" t="str">
        <x:v>MUST</x:v>
      </x:c>
      <x:c r="F134" s="26" t="str"/>
      <x:c r="G134" s="26" t="str"/>
      <x:c r="H134" s="26" t="str">
        <x:v>EXTRACTION_METHOD</x:v>
      </x:c>
      <x:c r="I134" s="26" t="str"/>
      <x:c r="J134" s="26" t="str"/>
    </x:row>
    <x:row r="135">
      <x:c r="A135" s="26" t="str">
        <x:v>09_ASSERTIONS</x:v>
      </x:c>
      <x:c r="B135" s="26" t="str">
        <x:v>verification_status</x:v>
      </x:c>
      <x:c r="C135" s="26" t="str">
        <x:v>Verification outcome.</x:v>
      </x:c>
      <x:c r="D135" s="26" t="str">
        <x:v>ENUM</x:v>
      </x:c>
      <x:c r="E135" s="26" t="str">
        <x:v>MUST</x:v>
      </x:c>
      <x:c r="F135" s="26" t="str"/>
      <x:c r="G135" s="26" t="str"/>
      <x:c r="H135" s="26" t="str">
        <x:v>VERIFICATION_STATUS</x:v>
      </x:c>
      <x:c r="I135" s="26" t="str"/>
      <x:c r="J135" s="26" t="str"/>
    </x:row>
    <x:row r="136">
      <x:c r="A136" s="26" t="str">
        <x:v>09_ASSERTIONS</x:v>
      </x:c>
      <x:c r="B136" s="26" t="str">
        <x:v>applicability_status</x:v>
      </x:c>
      <x:c r="C136" s="26" t="str">
        <x:v>Subject/model-year/market applicability.</x:v>
      </x:c>
      <x:c r="D136" s="26" t="str">
        <x:v>ENUM</x:v>
      </x:c>
      <x:c r="E136" s="26" t="str">
        <x:v>MUST</x:v>
      </x:c>
      <x:c r="F136" s="26" t="str"/>
      <x:c r="G136" s="26" t="str"/>
      <x:c r="H136" s="26" t="str">
        <x:v>APPLICABILITY_STATUS</x:v>
      </x:c>
      <x:c r="I136" s="26" t="str"/>
      <x:c r="J136" s="26" t="str"/>
    </x:row>
    <x:row r="137">
      <x:c r="A137" s="26" t="str">
        <x:v>09_ASSERTIONS</x:v>
      </x:c>
      <x:c r="B137" s="26" t="str">
        <x:v>verified_at</x:v>
      </x:c>
      <x:c r="C137" s="26" t="str">
        <x:v>Verification date.</x:v>
      </x:c>
      <x:c r="D137" s="26" t="str">
        <x:v>DATE</x:v>
      </x:c>
      <x:c r="E137" s="26" t="str">
        <x:v>SHOULD</x:v>
      </x:c>
      <x:c r="F137" s="26" t="str"/>
      <x:c r="G137" s="26" t="str"/>
      <x:c r="H137" s="26" t="str"/>
      <x:c r="I137" s="26" t="str"/>
      <x:c r="J137" s="26" t="str"/>
    </x:row>
    <x:row r="138">
      <x:c r="A138" s="26" t="str">
        <x:v>09_ASSERTIONS</x:v>
      </x:c>
      <x:c r="B138" s="26" t="str">
        <x:v>verified_by</x:v>
      </x:c>
      <x:c r="C138" s="26" t="str">
        <x:v>Verifier identity/role.</x:v>
      </x:c>
      <x:c r="D138" s="26" t="str">
        <x:v>TEXT</x:v>
      </x:c>
      <x:c r="E138" s="26" t="str">
        <x:v>SHOULD</x:v>
      </x:c>
      <x:c r="F138" s="26" t="str"/>
      <x:c r="G138" s="26" t="str"/>
      <x:c r="H138" s="26" t="str"/>
      <x:c r="I138" s="26" t="str"/>
      <x:c r="J138" s="26" t="str"/>
    </x:row>
    <x:row r="139">
      <x:c r="A139" s="26" t="str">
        <x:v>09_ASSERTIONS</x:v>
      </x:c>
      <x:c r="B139" s="26" t="str">
        <x:v>notes</x:v>
      </x:c>
      <x:c r="C139" s="26" t="str">
        <x:v>Notes.</x:v>
      </x:c>
      <x:c r="D139" s="26" t="str">
        <x:v>TEXT</x:v>
      </x:c>
      <x:c r="E139" s="26" t="str">
        <x:v>NICE_TO_HAVE</x:v>
      </x:c>
      <x:c r="F139" s="26" t="str"/>
      <x:c r="G139" s="26" t="str"/>
      <x:c r="H139" s="26" t="str"/>
      <x:c r="I139" s="26" t="str"/>
      <x:c r="J139" s="26" t="str"/>
    </x:row>
    <x:row r="140">
      <x:c r="A140" s="26" t="str">
        <x:v>10_COLLECTION_QUEUE</x:v>
      </x:c>
      <x:c r="B140" s="26" t="str">
        <x:v>queue_id</x:v>
      </x:c>
      <x:c r="C140" s="26" t="str">
        <x:v>Immutable collection task ID.</x:v>
      </x:c>
      <x:c r="D140" s="26" t="str">
        <x:v>ID</x:v>
      </x:c>
      <x:c r="E140" s="26" t="str">
        <x:v>MUST</x:v>
      </x:c>
      <x:c r="F140" s="26" t="str"/>
      <x:c r="G140" s="26" t="str"/>
      <x:c r="H140" s="26" t="str"/>
      <x:c r="I140" s="26" t="str"/>
      <x:c r="J140" s="26" t="str"/>
    </x:row>
    <x:row r="141">
      <x:c r="A141" s="26" t="str">
        <x:v>10_COLLECTION_QUEUE</x:v>
      </x:c>
      <x:c r="B141" s="26" t="str">
        <x:v>subject_id</x:v>
      </x:c>
      <x:c r="C141" s="26" t="str">
        <x:v>Target subject.</x:v>
      </x:c>
      <x:c r="D141" s="26" t="str">
        <x:v>FK</x:v>
      </x:c>
      <x:c r="E141" s="26" t="str">
        <x:v>MUST</x:v>
      </x:c>
      <x:c r="F141" s="26" t="str"/>
      <x:c r="G141" s="26" t="str"/>
      <x:c r="H141" s="26" t="str"/>
      <x:c r="I141" s="26" t="str"/>
      <x:c r="J141" s="26" t="str"/>
    </x:row>
    <x:row r="142">
      <x:c r="A142" s="26" t="str">
        <x:v>10_COLLECTION_QUEUE</x:v>
      </x:c>
      <x:c r="B142" s="26" t="str">
        <x:v>fact_key</x:v>
      </x:c>
      <x:c r="C142" s="26" t="str">
        <x:v>Requested fact/equipment/safety key.</x:v>
      </x:c>
      <x:c r="D142" s="26" t="str">
        <x:v>TEXT</x:v>
      </x:c>
      <x:c r="E142" s="26" t="str">
        <x:v>MUST</x:v>
      </x:c>
      <x:c r="F142" s="26" t="str"/>
      <x:c r="G142" s="26" t="str"/>
      <x:c r="H142" s="26" t="str"/>
      <x:c r="I142" s="26" t="str"/>
      <x:c r="J142" s="26" t="str"/>
    </x:row>
    <x:row r="143">
      <x:c r="A143" s="26" t="str">
        <x:v>10_COLLECTION_QUEUE</x:v>
      </x:c>
      <x:c r="B143" s="26" t="str">
        <x:v>priority</x:v>
      </x:c>
      <x:c r="C143" s="26" t="str">
        <x:v>Collection priority.</x:v>
      </x:c>
      <x:c r="D143" s="26" t="str">
        <x:v>ENUM</x:v>
      </x:c>
      <x:c r="E143" s="26" t="str">
        <x:v>MUST</x:v>
      </x:c>
      <x:c r="F143" s="26" t="str"/>
      <x:c r="G143" s="26" t="str"/>
      <x:c r="H143" s="26" t="str">
        <x:v>PRIORITY</x:v>
      </x:c>
      <x:c r="I143" s="26" t="str"/>
      <x:c r="J143" s="26" t="str"/>
    </x:row>
    <x:row r="144">
      <x:c r="A144" s="26" t="str">
        <x:v>10_COLLECTION_QUEUE</x:v>
      </x:c>
      <x:c r="B144" s="26" t="str">
        <x:v>collection_status</x:v>
      </x:c>
      <x:c r="C144" s="26" t="str">
        <x:v>Workflow state.</x:v>
      </x:c>
      <x:c r="D144" s="26" t="str">
        <x:v>ENUM</x:v>
      </x:c>
      <x:c r="E144" s="26" t="str">
        <x:v>MUST</x:v>
      </x:c>
      <x:c r="F144" s="26" t="str"/>
      <x:c r="G144" s="26" t="str"/>
      <x:c r="H144" s="26" t="str">
        <x:v>COLLECTION_STATUS</x:v>
      </x:c>
      <x:c r="I144" s="26" t="str"/>
      <x:c r="J144" s="26" t="str"/>
    </x:row>
    <x:row r="145">
      <x:c r="A145" s="26" t="str">
        <x:v>10_COLLECTION_QUEUE</x:v>
      </x:c>
      <x:c r="B145" s="26" t="str">
        <x:v>preferred_source_type</x:v>
      </x:c>
      <x:c r="C145" s="26" t="str">
        <x:v>Preferred authority tier.</x:v>
      </x:c>
      <x:c r="D145" s="26" t="str">
        <x:v>ENUM</x:v>
      </x:c>
      <x:c r="E145" s="26" t="str">
        <x:v>SHOULD</x:v>
      </x:c>
      <x:c r="F145" s="26" t="str"/>
      <x:c r="G145" s="26" t="str"/>
      <x:c r="H145" s="26" t="str">
        <x:v>PREFERRED_SOURCE_TYPE</x:v>
      </x:c>
      <x:c r="I145" s="26" t="str"/>
      <x:c r="J145" s="26" t="str"/>
    </x:row>
    <x:row r="146">
      <x:c r="A146" s="26" t="str">
        <x:v>10_COLLECTION_QUEUE</x:v>
      </x:c>
      <x:c r="B146" s="26" t="str">
        <x:v>assigned_method</x:v>
      </x:c>
      <x:c r="C146" s="26" t="str">
        <x:v>Collection method.</x:v>
      </x:c>
      <x:c r="D146" s="26" t="str">
        <x:v>ENUM</x:v>
      </x:c>
      <x:c r="E146" s="26" t="str">
        <x:v>MUST</x:v>
      </x:c>
      <x:c r="F146" s="26" t="str"/>
      <x:c r="G146" s="26" t="str"/>
      <x:c r="H146" s="26" t="str">
        <x:v>ASSIGNED_METHOD</x:v>
      </x:c>
      <x:c r="I146" s="26" t="str"/>
      <x:c r="J146" s="26" t="str"/>
    </x:row>
    <x:row r="147">
      <x:c r="A147" s="26" t="str">
        <x:v>10_COLLECTION_QUEUE</x:v>
      </x:c>
      <x:c r="B147" s="26" t="str">
        <x:v>attempt_count</x:v>
      </x:c>
      <x:c r="C147" s="26" t="str">
        <x:v>Number of attempts.</x:v>
      </x:c>
      <x:c r="D147" s="26" t="str">
        <x:v>INTEGER</x:v>
      </x:c>
      <x:c r="E147" s="26" t="str">
        <x:v>SHOULD</x:v>
      </x:c>
      <x:c r="F147" s="26" t="str"/>
      <x:c r="G147" s="26" t="str"/>
      <x:c r="H147" s="26" t="str"/>
      <x:c r="I147" s="26" t="str"/>
      <x:c r="J147" s="26" t="str"/>
    </x:row>
    <x:row r="148">
      <x:c r="A148" s="26" t="str">
        <x:v>10_COLLECTION_QUEUE</x:v>
      </x:c>
      <x:c r="B148" s="26" t="str">
        <x:v>last_attempt_at</x:v>
      </x:c>
      <x:c r="C148" s="26" t="str">
        <x:v>Last attempt date.</x:v>
      </x:c>
      <x:c r="D148" s="26" t="str">
        <x:v>DATE</x:v>
      </x:c>
      <x:c r="E148" s="26" t="str">
        <x:v>SHOULD</x:v>
      </x:c>
      <x:c r="F148" s="26" t="str"/>
      <x:c r="G148" s="26" t="str"/>
      <x:c r="H148" s="26" t="str"/>
      <x:c r="I148" s="26" t="str"/>
      <x:c r="J148" s="26" t="str"/>
    </x:row>
    <x:row r="149">
      <x:c r="A149" s="26" t="str">
        <x:v>10_COLLECTION_QUEUE</x:v>
      </x:c>
      <x:c r="B149" s="26" t="str">
        <x:v>result</x:v>
      </x:c>
      <x:c r="C149" s="26" t="str">
        <x:v>Collection outcome.</x:v>
      </x:c>
      <x:c r="D149" s="26" t="str">
        <x:v>ENUM</x:v>
      </x:c>
      <x:c r="E149" s="26" t="str">
        <x:v>SHOULD</x:v>
      </x:c>
      <x:c r="F149" s="26" t="str"/>
      <x:c r="G149" s="26" t="str"/>
      <x:c r="H149" s="26" t="str">
        <x:v>COLLECTION_RESULT</x:v>
      </x:c>
      <x:c r="I149" s="26" t="str"/>
      <x:c r="J149" s="26" t="str"/>
    </x:row>
    <x:row r="150">
      <x:c r="A150" s="26" t="str">
        <x:v>10_COLLECTION_QUEUE</x:v>
      </x:c>
      <x:c r="B150" s="26" t="str">
        <x:v>notes</x:v>
      </x:c>
      <x:c r="C150" s="26" t="str">
        <x:v>Notes.</x:v>
      </x:c>
      <x:c r="D150" s="26" t="str">
        <x:v>TEXT</x:v>
      </x:c>
      <x:c r="E150" s="26" t="str">
        <x:v>NICE_TO_HAVE</x:v>
      </x:c>
      <x:c r="F150" s="26" t="str"/>
      <x:c r="G150" s="26" t="str"/>
      <x:c r="H150" s="26" t="str"/>
      <x:c r="I150" s="26" t="str"/>
      <x:c r="J150" s="26" t="str"/>
    </x:row>
    <x:row r="151">
      <x:c r="A151" s="26" t="str">
        <x:v>05_EVIDENCE_FACTS</x:v>
      </x:c>
      <x:c r="B151" s="26" t="str">
        <x:v>dc_charge_time_min</x:v>
      </x:c>
      <x:c r="C151" s="26" t="str">
        <x:v>DC fast-charge duration for explicitly stated SOC interval.</x:v>
      </x:c>
      <x:c r="D151" s="26" t="str">
        <x:v>NUMBER</x:v>
      </x:c>
      <x:c r="E151" s="26" t="str">
        <x:v>SHOULD</x:v>
      </x:c>
      <x:c r="F151" s="26" t="str">
        <x:v>min</x:v>
      </x:c>
      <x:c r="G151" s="26" t="str">
        <x:v>POWERTRAIN_OR_CONFIGURATION</x:v>
      </x:c>
      <x:c r="H151" s="26" t="str">
        <x:v>measurement_context MUST contain SOC interval and charge-power context</x:v>
      </x:c>
      <x:c r="I151" s="26" t="n">
        <x:v>35</x:v>
      </x:c>
      <x:c r="J151" s="26" t="str">
        <x:v>PILOT ADDITION: fixed 10–80 assumption is insufficient.</x:v>
      </x:c>
    </x:row>
    <x:row r="152">
      <x:c r="A152" t="str">
        <x:v>05_EVIDENCE_FACTS</x:v>
      </x:c>
      <x:c r="B152" t="str">
        <x:v>battery_capacity_reported_kwh</x:v>
      </x:c>
      <x:c r="C152" t="str">
        <x:v>Battery capacity exactly as published when gross vs usable is unspecified.</x:v>
      </x:c>
      <x:c r="D152" t="str">
        <x:v>NUMBER</x:v>
      </x:c>
      <x:c r="E152" t="str">
        <x:v>SHOULD</x:v>
      </x:c>
      <x:c r="F152" t="str">
        <x:v>kWh</x:v>
      </x:c>
      <x:c r="G152" t="str">
        <x:v>POWERTRAIN</x:v>
      </x:c>
      <x:c r="H152" t="str">
        <x:v>Do not promote to gross/usable without explicit semantics</x:v>
      </x:c>
      <x:c r="I152" t="n">
        <x:v>58.3</x:v>
      </x:c>
      <x:c r="J152" t="str">
        <x:v>PILOT ADDITION.</x:v>
      </x:c>
    </x:row>
    <x:row r="153">
      <x:c r="A153" t="str">
        <x:v>05_EVIDENCE_FACTS</x:v>
      </x:c>
      <x:c r="B153" t="str">
        <x:v>value_min</x:v>
      </x:c>
      <x:c r="C153" t="str">
        <x:v>Lower bound when a source publishes a numeric range.</x:v>
      </x:c>
      <x:c r="D153" t="str">
        <x:v>NUMBER</x:v>
      </x:c>
      <x:c r="E153" t="str">
        <x:v>SHOULD</x:v>
      </x:c>
      <x:c r="F153" t="str"/>
      <x:c r="G153" t="str">
        <x:v>ANY</x:v>
      </x:c>
      <x:c r="H153" t="str">
        <x:v>Used only when range_semantics=MIN_MAX</x:v>
      </x:c>
      <x:c r="I153" t="n">
        <x:v>4.5</x:v>
      </x:c>
      <x:c r="J153" t="str">
        <x:v>PILOT PROMOTED TO CONTRACT.</x:v>
      </x:c>
    </x:row>
    <x:row r="154">
      <x:c r="A154" t="str">
        <x:v>05_EVIDENCE_FACTS</x:v>
      </x:c>
      <x:c r="B154" t="str">
        <x:v>value_max</x:v>
      </x:c>
      <x:c r="C154" t="str">
        <x:v>Upper bound when a source publishes a numeric range.</x:v>
      </x:c>
      <x:c r="D154" t="str">
        <x:v>NUMBER</x:v>
      </x:c>
      <x:c r="E154" t="str">
        <x:v>SHOULD</x:v>
      </x:c>
      <x:c r="F154" t="str"/>
      <x:c r="G154" t="str">
        <x:v>ANY</x:v>
      </x:c>
      <x:c r="H154" t="str">
        <x:v>Used only when range_semantics=MIN_MAX</x:v>
      </x:c>
      <x:c r="I154" t="n">
        <x:v>4.7</x:v>
      </x:c>
      <x:c r="J154" t="str">
        <x:v>PILOT PROMOTED TO CONTRACT.</x:v>
      </x:c>
    </x:row>
    <x:row r="155">
      <x:c r="A155" t="str">
        <x:v>05_EVIDENCE_FACTS</x:v>
      </x:c>
      <x:c r="B155" t="str">
        <x:v>range_semantics</x:v>
      </x:c>
      <x:c r="C155" t="str">
        <x:v>Meaning of min/max or multiple official values.</x:v>
      </x:c>
      <x:c r="D155" t="str">
        <x:v>ENUM</x:v>
      </x:c>
      <x:c r="E155" t="str">
        <x:v>MUST</x:v>
      </x:c>
      <x:c r="F155" t="str"/>
      <x:c r="G155" t="str">
        <x:v>ANY</x:v>
      </x:c>
      <x:c r="H155" t="str">
        <x:v>NONE / MIN_MAX / MULTIPLE_OFFICIAL_VALUES</x:v>
      </x:c>
      <x:c r="I155" t="str">
        <x:v>MIN_MAX</x:v>
      </x:c>
      <x:c r="J155" t="str">
        <x:v>PILOT PROMOTED TO CONTRACT.</x:v>
      </x:c>
    </x:row>
    <x:row r="156">
      <x:c r="A156" t="str">
        <x:v>05_EVIDENCE_FACTS</x:v>
      </x:c>
      <x:c r="B156" t="str">
        <x:v>source_value_semantics</x:v>
      </x:c>
      <x:c r="C156" t="str">
        <x:v>Preserves how the source itself characterizes the value.</x:v>
      </x:c>
      <x:c r="D156" t="str">
        <x:v>ENUM</x:v>
      </x:c>
      <x:c r="E156" t="str">
        <x:v>MUST</x:v>
      </x:c>
      <x:c r="F156" t="str"/>
      <x:c r="G156" t="str">
        <x:v>ANY</x:v>
      </x:c>
      <x:c r="H156" t="str">
        <x:v>EXACT_SCALAR / EXACT_RANGE / BATTERY_CAPACITY_UNQUALIFIED / CHARGE_TIME_WITH_SOC_CONTEXT / OFFICIAL_VALUES_CONFLICT</x:v>
      </x:c>
      <x:c r="I156" t="str">
        <x:v>EXACT_RANGE</x:v>
      </x:c>
      <x:c r="J156" t="str">
        <x:v>PILOT PROMOTED TO CONTRACT.</x:v>
      </x:c>
    </x:row>
    <x:row r="157">
      <x:c r="A157" t="str">
        <x:v>05_EVIDENCE_FACTS</x:v>
      </x:c>
      <x:c r="B157" t="str">
        <x:v>source_value_raw</x:v>
      </x:c>
      <x:c r="C157" t="str">
        <x:v>Exact source presentation retained for audit; runtime must use typed value/range fields.</x:v>
      </x:c>
      <x:c r="D157" t="str">
        <x:v>TEXT</x:v>
      </x:c>
      <x:c r="E157" t="str">
        <x:v>NICE_TO_HAVE</x:v>
      </x:c>
      <x:c r="F157" t="str"/>
      <x:c r="G157" t="str">
        <x:v>CONFIGURATION</x:v>
      </x:c>
      <x:c r="H157" t="str"/>
      <x:c r="I157" t="str">
        <x:v>4.5–4.7</x:v>
      </x:c>
      <x:c r="J157" t="str"/>
    </x:row>
    <x:row r="158">
      <x:c r="A158" t="str">
        <x:v>05_EVIDENCE_FACTS</x:v>
      </x:c>
      <x:c r="B158" t="str">
        <x:v>soc_start_pct</x:v>
      </x:c>
      <x:c r="C158" t="str">
        <x:v>Charging interval start state of charge.</x:v>
      </x:c>
      <x:c r="D158" t="str">
        <x:v>NUMBER</x:v>
      </x:c>
      <x:c r="E158" t="str">
        <x:v>SHOULD</x:v>
      </x:c>
      <x:c r="F158" t="str">
        <x:v>%</x:v>
      </x:c>
      <x:c r="G158" t="str">
        <x:v>POWERTRAIN</x:v>
      </x:c>
      <x:c r="H158" t="str">
        <x:v>0 &lt;= start &lt; end &lt;= 100</x:v>
      </x:c>
      <x:c r="I158" t="n">
        <x:v>10</x:v>
      </x:c>
      <x:c r="J158" t="str"/>
    </x:row>
    <x:row r="159">
      <x:c r="A159" t="str">
        <x:v>05_EVIDENCE_FACTS</x:v>
      </x:c>
      <x:c r="B159" t="str">
        <x:v>soc_end_pct</x:v>
      </x:c>
      <x:c r="C159" t="str">
        <x:v>Charging interval end state of charge.</x:v>
      </x:c>
      <x:c r="D159" t="str">
        <x:v>NUMBER</x:v>
      </x:c>
      <x:c r="E159" t="str">
        <x:v>SHOULD</x:v>
      </x:c>
      <x:c r="F159" t="str">
        <x:v>%</x:v>
      </x:c>
      <x:c r="G159" t="str">
        <x:v>POWERTRAIN</x:v>
      </x:c>
      <x:c r="H159" t="str">
        <x:v>0 &lt;= start &lt; end &lt;= 100</x:v>
      </x:c>
      <x:c r="I159" t="n">
        <x:v>80</x:v>
      </x:c>
      <x:c r="J159" t="str"/>
    </x:row>
    <x:row r="160">
      <x:c r="A160" t="str">
        <x:v>05_EVIDENCE_FACTS</x:v>
      </x:c>
      <x:c r="B160" t="str">
        <x:v>charge_power_context_kw</x:v>
      </x:c>
      <x:c r="C160" t="str">
        <x:v>Published charge-power context for the charge-time assertion.</x:v>
      </x:c>
      <x:c r="D160" t="str">
        <x:v>NUMBER</x:v>
      </x:c>
      <x:c r="E160" t="str">
        <x:v>SHOULD</x:v>
      </x:c>
      <x:c r="F160" t="str">
        <x:v>kW</x:v>
      </x:c>
      <x:c r="G160" t="str">
        <x:v>POWERTRAIN</x:v>
      </x:c>
      <x:c r="H160" t="str">
        <x:v>&gt; 0</x:v>
      </x:c>
      <x:c r="I160" t="n">
        <x:v>101</x:v>
      </x:c>
      <x:c r="J160" t="str"/>
    </x:row>
    <x:row r="161">
      <x:c r="A161" t="str">
        <x:v>08_SOURCES</x:v>
      </x:c>
      <x:c r="B161" t="str">
        <x:v>source_url_canonical</x:v>
      </x:c>
      <x:c r="C161" t="str">
        <x:v>Deterministically canonicalized document URL.</x:v>
      </x:c>
      <x:c r="D161" t="str">
        <x:v>URL</x:v>
      </x:c>
      <x:c r="E161" t="str">
        <x:v>SHOULD</x:v>
      </x:c>
      <x:c r="F161" t="str"/>
      <x:c r="G161" t="str">
        <x:v>MODEL</x:v>
      </x:c>
      <x:c r="H161" t="str"/>
      <x:c r="I161" t="str"/>
      <x:c r="J161" t="str"/>
    </x:row>
    <x:row r="162">
      <x:c r="A162" t="str">
        <x:v>08_SOURCES</x:v>
      </x:c>
      <x:c r="B162" t="str">
        <x:v>source_version_label</x:v>
      </x:c>
      <x:c r="C162" t="str">
        <x:v>Publisher/date version label when available.</x:v>
      </x:c>
      <x:c r="D162" t="str">
        <x:v>TEXT</x:v>
      </x:c>
      <x:c r="E162" t="str">
        <x:v>SHOULD</x:v>
      </x:c>
      <x:c r="F162" t="str"/>
      <x:c r="G162" t="str">
        <x:v>MODEL</x:v>
      </x:c>
      <x:c r="H162" t="str"/>
      <x:c r="I162" t="str"/>
      <x:c r="J162" t="str"/>
    </x:row>
    <x:row r="163">
      <x:c r="A163" t="str">
        <x:v>08_SOURCES</x:v>
      </x:c>
      <x:c r="B163" t="str">
        <x:v>source_observed_at</x:v>
      </x:c>
      <x:c r="C163" t="str">
        <x:v>Date content was observed for evidence extraction.</x:v>
      </x:c>
      <x:c r="D163" t="str">
        <x:v>DATE</x:v>
      </x:c>
      <x:c r="E163" t="str">
        <x:v>MUST</x:v>
      </x:c>
      <x:c r="F163" t="str"/>
      <x:c r="G163" t="str">
        <x:v>MODEL</x:v>
      </x:c>
      <x:c r="H163" t="str"/>
      <x:c r="I163" t="str"/>
      <x:c r="J163" t="str"/>
    </x:row>
    <x:row r="164">
      <x:c r="A164" t="str">
        <x:v>08_SOURCES</x:v>
      </x:c>
      <x:c r="B164" t="str">
        <x:v>source_content_hash</x:v>
      </x:c>
      <x:c r="C164" t="str">
        <x:v>SHA-256 of captured source content; blank when no capture exists.</x:v>
      </x:c>
      <x:c r="D164" t="str">
        <x:v>TEXT</x:v>
      </x:c>
      <x:c r="E164" t="str">
        <x:v>SHOULD</x:v>
      </x:c>
      <x:c r="F164" t="str"/>
      <x:c r="G164" t="str">
        <x:v>MODEL</x:v>
      </x:c>
      <x:c r="H164" t="str"/>
      <x:c r="I164" t="str"/>
      <x:c r="J164" t="str"/>
    </x:row>
    <x:row r="165">
      <x:c r="A165" t="str">
        <x:v>08_SOURCES</x:v>
      </x:c>
      <x:c r="B165" t="str">
        <x:v>source_snapshot_ref</x:v>
      </x:c>
      <x:c r="C165" t="str">
        <x:v>Repository/archive reference to immutable snapshot; blank when unavailable.</x:v>
      </x:c>
      <x:c r="D165" t="str">
        <x:v>TEXT</x:v>
      </x:c>
      <x:c r="E165" t="str">
        <x:v>SHOULD</x:v>
      </x:c>
      <x:c r="F165" t="str"/>
      <x:c r="G165" t="str">
        <x:v>MODEL</x:v>
      </x:c>
      <x:c r="H165" t="str"/>
      <x:c r="I165" t="str"/>
      <x:c r="J165" t="str"/>
    </x:row>
  </x:sheetData>
  <x:conditionalFormatting sqref="E2:E151">
    <x:cfRule type="expression" dxfId="0" priority="1">
      <x:formula>E2="MUST"</x:formula>
    </x:cfRule>
    <x:cfRule type="expression" dxfId="1" priority="2">
      <x:formula>E2="SHOULD"</x:formula>
    </x:cfRule>
    <x:cfRule type="expression" dxfId="2" priority="3">
      <x:formula>E2="NICE_TO_HAVE"</x:formula>
    </x:cfRule>
  </x:conditionalFormatting>
  <x:dataValidations count="4">
    <x:dataValidation type="list" sqref="D2:D2000">
      <x:formula1>'12_LISTS'!$B$163:$B$171</x:formula1>
    </x:dataValidation>
    <x:dataValidation type="list" sqref="E2:E2000">
      <x:formula1>'12_LISTS'!$B$156:$B$158</x:formula1>
    </x:dataValidation>
    <x:dataValidation type="list" sqref="G2:G2000">
      <x:formula1>'12_LISTS'!$B$159:$B$162</x:formula1>
    </x:dataValidation>
    <x:dataValidation type="list" sqref="E2:E500">
      <x:formula1>"MUST,CONDITIONAL_MUST,SHOULD,NICE_TO_HAVE"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c7c97138e0418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4" max="14" width="20" hidden="0" customWidth="1"/>
    <x:col min="15" max="15" width="16" hidden="0" customWidth="1"/>
  </x:cols>
  <x:sheetData>
    <x:row r="1">
      <x:c r="A1" s="59" t="str">
        <x:v>configuration_id</x:v>
      </x:c>
      <x:c r="B1" s="59" t="str">
        <x:v>model</x:v>
      </x:c>
      <x:c r="C1" s="59" t="str">
        <x:v>identity_gate</x:v>
      </x:c>
      <x:c r="D1" s="59" t="str">
        <x:v>dimensions_gate</x:v>
      </x:c>
      <x:c r="E1" s="59" t="str">
        <x:v>cargo_gate</x:v>
      </x:c>
      <x:c r="F1" s="59" t="str">
        <x:v>ground_clearance_gate</x:v>
      </x:c>
      <x:c r="G1" s="59" t="str">
        <x:v>efficiency_range_gate</x:v>
      </x:c>
      <x:c r="H1" s="59" t="str">
        <x:v>equipment_gate</x:v>
      </x:c>
      <x:c r="I1" s="59" t="str">
        <x:v>tasks_complete</x:v>
      </x:c>
      <x:c r="J1" s="59" t="str">
        <x:v>tasks_blocked</x:v>
      </x:c>
      <x:c r="K1" s="59" t="str">
        <x:v>coverage_pct</x:v>
      </x:c>
      <x:c r="L1" s="59" t="str">
        <x:v>pilot_status</x:v>
      </x:c>
      <x:c r="N1" s="63" t="str">
        <x:v>Pilot Summary</x:v>
      </x:c>
      <x:c r="O1" s="63" t="str">
        <x:v>Value</x:v>
      </x:c>
    </x:row>
    <x:row r="2">
      <x:c r="A2" s="26" t="str">
        <x:v>CFG-000001</x:v>
      </x:c>
      <x:c r="B2" s="26" t="str">
        <x:v>Renault Clio</x:v>
      </x:c>
      <x:c r="C2" s="26" t="str">
        <x:f>IF(COUNTIFS(QueueTable[subject_id],$A2,QueueTable[fact_key],"identity_exact_configuration",QueueTable[result],"FOUND")&gt;0,"FOUND",IF(COUNTIFS(QueueTable[subject_id],$A2,QueueTable[fact_key],"identity_exact_configuration",QueueTable[result],"NOT_FOUND")&gt;0,"NOT_FOUND",IF(COUNTIFS(QueueTable[subject_id],$A2,QueueTable[fact_key],"identity_exact_configuration",QueueTable[result],"CONFLICT")&gt;0,"CONFLICT","OPEN")))</x:f>
        <x:v>FOUND</x:v>
      </x:c>
      <x:c r="D2" s="26" t="str">
        <x:f>IF(COUNTIFS(QueueTable[subject_id],$A2,QueueTable[fact_key],"dimensions_core",QueueTable[result],"FOUND")&gt;0,"FOUND",IF(COUNTIFS(QueueTable[subject_id],$A2,QueueTable[fact_key],"dimensions_core",QueueTable[result],"NOT_FOUND")&gt;0,"NOT_FOUND",IF(COUNTIFS(QueueTable[subject_id],$A2,QueueTable[fact_key],"dimensions_core",QueueTable[result],"CONFLICT")&gt;0,"CONFLICT","OPEN")))</x:f>
        <x:v>FOUND</x:v>
      </x:c>
      <x:c r="E2" s="26" t="str">
        <x:f>IF(COUNTIFS(QueueTable[subject_id],$A2,QueueTable[fact_key],"cargo_volume_l",QueueTable[result],"FOUND")&gt;0,"FOUND",IF(COUNTIFS(QueueTable[subject_id],$A2,QueueTable[fact_key],"cargo_volume_l",QueueTable[result],"NOT_FOUND")&gt;0,"NOT_FOUND",IF(COUNTIFS(QueueTable[subject_id],$A2,QueueTable[fact_key],"cargo_volume_l",QueueTable[result],"CONFLICT")&gt;0,"CONFLICT","OPEN")))</x:f>
        <x:v>FOUND</x:v>
      </x:c>
      <x:c r="F2" s="26" t="str">
        <x:f>IF(COUNTIFS(QueueTable[subject_id],$A2,QueueTable[fact_key],"ground_clearance_mm",QueueTable[result],"FOUND")&gt;0,"FOUND",IF(COUNTIFS(QueueTable[subject_id],$A2,QueueTable[fact_key],"ground_clearance_mm",QueueTable[result],"NOT_FOUND")&gt;0,"NOT_FOUND",IF(COUNTIFS(QueueTable[subject_id],$A2,QueueTable[fact_key],"ground_clearance_mm",QueueTable[result],"CONFLICT")&gt;0,"CONFLICT","OPEN")))</x:f>
        <x:v>FOUND</x:v>
      </x:c>
      <x:c r="G2" s="26" t="str">
        <x:f>IF(COUNTIFS(QueueTable[subject_id],$A2,QueueTable[fact_key],"efficiency_or_range_core",QueueTable[result],"FOUND")&gt;0,"FOUND",IF(COUNTIFS(QueueTable[subject_id],$A2,QueueTable[fact_key],"efficiency_or_range_core",QueueTable[result],"NOT_FOUND")&gt;0,"NOT_FOUND",IF(COUNTIFS(QueueTable[subject_id],$A2,QueueTable[fact_key],"efficiency_or_range_core",QueueTable[result],"CONFLICT")&gt;0,"CONFLICT","OPEN")))</x:f>
        <x:v>FOUND</x:v>
      </x:c>
      <x:c r="H2" s="26" t="str">
        <x:f>IF(COUNTIFS(QueueTable[subject_id],$A2,QueueTable[fact_key],"equipment_mvp_core",QueueTable[result],"FOUND")&gt;0,"FOUND",IF(COUNTIFS(QueueTable[subject_id],$A2,QueueTable[fact_key],"equipment_mvp_core",QueueTable[result],"NOT_FOUND")&gt;0,"NOT_FOUND",IF(COUNTIFS(QueueTable[subject_id],$A2,QueueTable[fact_key],"equipment_mvp_core",QueueTable[result],"CONFLICT")&gt;0,"CONFLICT","OPEN")))</x:f>
        <x:v>FOUND</x:v>
      </x:c>
      <x:c r="I2" s="26" t="n">
        <x:f>COUNTIFS(QueueTable[subject_id],$A2,QueueTable[collection_status],"COMPLETE")</x:f>
        <x:v>6</x:v>
      </x:c>
      <x:c r="J2" s="26" t="n">
        <x:f>COUNTIFS(QueueTable[subject_id],$A2,QueueTable[result],"NOT_FOUND")+COUNTIFS(QueueTable[subject_id],$A2,QueueTable[result],"CONFLICT")</x:f>
        <x:v>0</x:v>
      </x:c>
      <x:c r="K2" s="61" t="n">
        <x:f>COUNTIF(C2:H2,"FOUND")/6</x:f>
        <x:v>1</x:v>
      </x:c>
      <x:c r="L2" s="26" t="str">
        <x:f>IF(COUNTIF(C2:H2,"FOUND")=6,"PASS",IF(COUNTIF(C2:H2,"OPEN")&gt;0,"HOLD",IF(COUNTIF(C2:H2,"CONFLICT")&gt;0,"PASS WITH GAPS",IF(COUNTIF(C2:H2,"NOT_FOUND")&lt;=2,"PASS WITH GAPS","PASS WITH REDUCTION"))))</x:f>
        <x:v>PASS</x:v>
      </x:c>
      <x:c r="N2" t="str">
        <x:v>Configurations</x:v>
      </x:c>
      <x:c r="O2" t="n">
        <x:v>8</x:v>
      </x:c>
    </x:row>
    <x:row r="3">
      <x:c r="A3" s="26" t="str">
        <x:v>CFG-000002</x:v>
      </x:c>
      <x:c r="B3" s="26" t="str">
        <x:v>Fiat Egea Sedan</x:v>
      </x:c>
      <x:c r="C3" s="26" t="str">
        <x:f>IF(COUNTIFS(QueueTable[subject_id],$A3,QueueTable[fact_key],"identity_exact_configuration",QueueTable[result],"FOUND")&gt;0,"FOUND",IF(COUNTIFS(QueueTable[subject_id],$A3,QueueTable[fact_key],"identity_exact_configuration",QueueTable[result],"NOT_FOUND")&gt;0,"NOT_FOUND",IF(COUNTIFS(QueueTable[subject_id],$A3,QueueTable[fact_key],"identity_exact_configuration",QueueTable[result],"CONFLICT")&gt;0,"CONFLICT","OPEN")))</x:f>
        <x:v>FOUND</x:v>
      </x:c>
      <x:c r="D3" s="26" t="str">
        <x:f>IF(COUNTIFS(QueueTable[subject_id],$A3,QueueTable[fact_key],"dimensions_core",QueueTable[result],"FOUND")&gt;0,"FOUND",IF(COUNTIFS(QueueTable[subject_id],$A3,QueueTable[fact_key],"dimensions_core",QueueTable[result],"NOT_FOUND")&gt;0,"NOT_FOUND",IF(COUNTIFS(QueueTable[subject_id],$A3,QueueTable[fact_key],"dimensions_core",QueueTable[result],"CONFLICT")&gt;0,"CONFLICT","OPEN")))</x:f>
        <x:v>FOUND</x:v>
      </x:c>
      <x:c r="E3" s="26" t="str">
        <x:f>IF(COUNTIFS(QueueTable[subject_id],$A3,QueueTable[fact_key],"cargo_volume_l",QueueTable[result],"FOUND")&gt;0,"FOUND",IF(COUNTIFS(QueueTable[subject_id],$A3,QueueTable[fact_key],"cargo_volume_l",QueueTable[result],"NOT_FOUND")&gt;0,"NOT_FOUND",IF(COUNTIFS(QueueTable[subject_id],$A3,QueueTable[fact_key],"cargo_volume_l",QueueTable[result],"CONFLICT")&gt;0,"CONFLICT","OPEN")))</x:f>
        <x:v>FOUND</x:v>
      </x:c>
      <x:c r="F3" s="26" t="str">
        <x:f>IF(COUNTIFS(QueueTable[subject_id],$A3,QueueTable[fact_key],"ground_clearance_mm",QueueTable[result],"FOUND")&gt;0,"FOUND",IF(COUNTIFS(QueueTable[subject_id],$A3,QueueTable[fact_key],"ground_clearance_mm",QueueTable[result],"NOT_FOUND")&gt;0,"NOT_FOUND",IF(COUNTIFS(QueueTable[subject_id],$A3,QueueTable[fact_key],"ground_clearance_mm",QueueTable[result],"CONFLICT")&gt;0,"CONFLICT","OPEN")))</x:f>
        <x:v>NOT_FOUND</x:v>
      </x:c>
      <x:c r="G3" s="26" t="str">
        <x:f>IF(COUNTIFS(QueueTable[subject_id],$A3,QueueTable[fact_key],"efficiency_or_range_core",QueueTable[result],"FOUND")&gt;0,"FOUND",IF(COUNTIFS(QueueTable[subject_id],$A3,QueueTable[fact_key],"efficiency_or_range_core",QueueTable[result],"NOT_FOUND")&gt;0,"NOT_FOUND",IF(COUNTIFS(QueueTable[subject_id],$A3,QueueTable[fact_key],"efficiency_or_range_core",QueueTable[result],"CONFLICT")&gt;0,"CONFLICT","OPEN")))</x:f>
        <x:v>NOT_FOUND</x:v>
      </x:c>
      <x:c r="H3" s="26" t="str">
        <x:f>IF(COUNTIFS(QueueTable[subject_id],$A3,QueueTable[fact_key],"equipment_mvp_core",QueueTable[result],"FOUND")&gt;0,"FOUND",IF(COUNTIFS(QueueTable[subject_id],$A3,QueueTable[fact_key],"equipment_mvp_core",QueueTable[result],"NOT_FOUND")&gt;0,"NOT_FOUND",IF(COUNTIFS(QueueTable[subject_id],$A3,QueueTable[fact_key],"equipment_mvp_core",QueueTable[result],"CONFLICT")&gt;0,"CONFLICT","OPEN")))</x:f>
        <x:v>FOUND</x:v>
      </x:c>
      <x:c r="I3" s="26" t="n">
        <x:f>COUNTIFS(QueueTable[subject_id],$A3,QueueTable[collection_status],"COMPLETE")</x:f>
        <x:v>6</x:v>
      </x:c>
      <x:c r="J3" s="26" t="n">
        <x:f>COUNTIFS(QueueTable[subject_id],$A3,QueueTable[result],"NOT_FOUND")+COUNTIFS(QueueTable[subject_id],$A3,QueueTable[result],"CONFLICT")</x:f>
        <x:v>2</x:v>
      </x:c>
      <x:c r="K3" s="61" t="n">
        <x:f>COUNTIF(C3:H3,"FOUND")/6</x:f>
        <x:v>0.6666666666666666</x:v>
      </x:c>
      <x:c r="L3" s="26" t="str">
        <x:f>IF(COUNTIF(C3:H3,"FOUND")=6,"PASS",IF(COUNTIF(C3:H3,"OPEN")&gt;0,"HOLD",IF(COUNTIF(C3:H3,"CONFLICT")&gt;0,"PASS WITH GAPS",IF(COUNTIF(C3:H3,"NOT_FOUND")&lt;=2,"PASS WITH GAPS","PASS WITH REDUCTION"))))</x:f>
        <x:v>PASS WITH GAPS</x:v>
      </x:c>
      <x:c r="N3" t="str">
        <x:v>Total P0 tasks</x:v>
      </x:c>
      <x:c r="O3" t="n">
        <x:f>ROWS(QueueTable[queue_id])</x:f>
        <x:v>48</x:v>
      </x:c>
    </x:row>
    <x:row r="4">
      <x:c r="A4" s="26" t="str">
        <x:v>CFG-000003</x:v>
      </x:c>
      <x:c r="B4" s="26" t="str">
        <x:v>Toyota Corolla Sedan</x:v>
      </x:c>
      <x:c r="C4" s="26" t="str">
        <x:f>IF(COUNTIFS(QueueTable[subject_id],$A4,QueueTable[fact_key],"identity_exact_configuration",QueueTable[result],"FOUND")&gt;0,"FOUND",IF(COUNTIFS(QueueTable[subject_id],$A4,QueueTable[fact_key],"identity_exact_configuration",QueueTable[result],"NOT_FOUND")&gt;0,"NOT_FOUND",IF(COUNTIFS(QueueTable[subject_id],$A4,QueueTable[fact_key],"identity_exact_configuration",QueueTable[result],"CONFLICT")&gt;0,"CONFLICT","OPEN")))</x:f>
        <x:v>FOUND</x:v>
      </x:c>
      <x:c r="D4" s="26" t="str">
        <x:f>IF(COUNTIFS(QueueTable[subject_id],$A4,QueueTable[fact_key],"dimensions_core",QueueTable[result],"FOUND")&gt;0,"FOUND",IF(COUNTIFS(QueueTable[subject_id],$A4,QueueTable[fact_key],"dimensions_core",QueueTable[result],"NOT_FOUND")&gt;0,"NOT_FOUND",IF(COUNTIFS(QueueTable[subject_id],$A4,QueueTable[fact_key],"dimensions_core",QueueTable[result],"CONFLICT")&gt;0,"CONFLICT","OPEN")))</x:f>
        <x:v>FOUND</x:v>
      </x:c>
      <x:c r="E4" s="26" t="str">
        <x:f>IF(COUNTIFS(QueueTable[subject_id],$A4,QueueTable[fact_key],"cargo_volume_l",QueueTable[result],"FOUND")&gt;0,"FOUND",IF(COUNTIFS(QueueTable[subject_id],$A4,QueueTable[fact_key],"cargo_volume_l",QueueTable[result],"NOT_FOUND")&gt;0,"NOT_FOUND",IF(COUNTIFS(QueueTable[subject_id],$A4,QueueTable[fact_key],"cargo_volume_l",QueueTable[result],"CONFLICT")&gt;0,"CONFLICT","OPEN")))</x:f>
        <x:v>FOUND</x:v>
      </x:c>
      <x:c r="F4" s="26" t="str">
        <x:f>IF(COUNTIFS(QueueTable[subject_id],$A4,QueueTable[fact_key],"ground_clearance_mm",QueueTable[result],"FOUND")&gt;0,"FOUND",IF(COUNTIFS(QueueTable[subject_id],$A4,QueueTable[fact_key],"ground_clearance_mm",QueueTable[result],"NOT_FOUND")&gt;0,"NOT_FOUND",IF(COUNTIFS(QueueTable[subject_id],$A4,QueueTable[fact_key],"ground_clearance_mm",QueueTable[result],"CONFLICT")&gt;0,"CONFLICT","OPEN")))</x:f>
        <x:v>NOT_FOUND</x:v>
      </x:c>
      <x:c r="G4" s="26" t="str">
        <x:f>IF(COUNTIFS(QueueTable[subject_id],$A4,QueueTable[fact_key],"efficiency_or_range_core",QueueTable[result],"FOUND")&gt;0,"FOUND",IF(COUNTIFS(QueueTable[subject_id],$A4,QueueTable[fact_key],"efficiency_or_range_core",QueueTable[result],"NOT_FOUND")&gt;0,"NOT_FOUND",IF(COUNTIFS(QueueTable[subject_id],$A4,QueueTable[fact_key],"efficiency_or_range_core",QueueTable[result],"CONFLICT")&gt;0,"CONFLICT","OPEN")))</x:f>
        <x:v>FOUND</x:v>
      </x:c>
      <x:c r="H4" s="26" t="str">
        <x:f>IF(COUNTIFS(QueueTable[subject_id],$A4,QueueTable[fact_key],"equipment_mvp_core",QueueTable[result],"FOUND")&gt;0,"FOUND",IF(COUNTIFS(QueueTable[subject_id],$A4,QueueTable[fact_key],"equipment_mvp_core",QueueTable[result],"NOT_FOUND")&gt;0,"NOT_FOUND",IF(COUNTIFS(QueueTable[subject_id],$A4,QueueTable[fact_key],"equipment_mvp_core",QueueTable[result],"CONFLICT")&gt;0,"CONFLICT","OPEN")))</x:f>
        <x:v>FOUND</x:v>
      </x:c>
      <x:c r="I4" s="26" t="n">
        <x:f>COUNTIFS(QueueTable[subject_id],$A4,QueueTable[collection_status],"COMPLETE")</x:f>
        <x:v>6</x:v>
      </x:c>
      <x:c r="J4" s="26" t="n">
        <x:f>COUNTIFS(QueueTable[subject_id],$A4,QueueTable[result],"NOT_FOUND")+COUNTIFS(QueueTable[subject_id],$A4,QueueTable[result],"CONFLICT")</x:f>
        <x:v>1</x:v>
      </x:c>
      <x:c r="K4" s="61" t="n">
        <x:f>COUNTIF(C4:H4,"FOUND")/6</x:f>
        <x:v>0.8333333333333334</x:v>
      </x:c>
      <x:c r="L4" s="26" t="str">
        <x:f>IF(COUNTIF(C4:H4,"FOUND")=6,"PASS",IF(COUNTIF(C4:H4,"OPEN")&gt;0,"HOLD",IF(COUNTIF(C4:H4,"CONFLICT")&gt;0,"PASS WITH GAPS",IF(COUNTIF(C4:H4,"NOT_FOUND")&lt;=2,"PASS WITH GAPS","PASS WITH REDUCTION"))))</x:f>
        <x:v>PASS WITH GAPS</x:v>
      </x:c>
      <x:c r="N4" t="str">
        <x:v>Collection complete</x:v>
      </x:c>
      <x:c r="O4" t="n">
        <x:f>COUNTIF(QueueTable[collection_status],"COMPLETE")</x:f>
        <x:v>47</x:v>
      </x:c>
    </x:row>
    <x:row r="5">
      <x:c r="A5" s="26" t="str">
        <x:v>CFG-000004</x:v>
      </x:c>
      <x:c r="B5" s="26" t="str">
        <x:v>Suzuki Vitara</x:v>
      </x:c>
      <x:c r="C5" s="26" t="str">
        <x:f>IF(COUNTIFS(QueueTable[subject_id],$A5,QueueTable[fact_key],"identity_exact_configuration",QueueTable[result],"FOUND")&gt;0,"FOUND",IF(COUNTIFS(QueueTable[subject_id],$A5,QueueTable[fact_key],"identity_exact_configuration",QueueTable[result],"NOT_FOUND")&gt;0,"NOT_FOUND",IF(COUNTIFS(QueueTable[subject_id],$A5,QueueTable[fact_key],"identity_exact_configuration",QueueTable[result],"CONFLICT")&gt;0,"CONFLICT","OPEN")))</x:f>
        <x:v>FOUND</x:v>
      </x:c>
      <x:c r="D5" s="26" t="str">
        <x:f>IF(COUNTIFS(QueueTable[subject_id],$A5,QueueTable[fact_key],"dimensions_core",QueueTable[result],"FOUND")&gt;0,"FOUND",IF(COUNTIFS(QueueTable[subject_id],$A5,QueueTable[fact_key],"dimensions_core",QueueTable[result],"NOT_FOUND")&gt;0,"NOT_FOUND",IF(COUNTIFS(QueueTable[subject_id],$A5,QueueTable[fact_key],"dimensions_core",QueueTable[result],"CONFLICT")&gt;0,"CONFLICT","OPEN")))</x:f>
        <x:v>FOUND</x:v>
      </x:c>
      <x:c r="E5" s="26" t="str">
        <x:f>IF(COUNTIFS(QueueTable[subject_id],$A5,QueueTable[fact_key],"cargo_volume_l",QueueTable[result],"FOUND")&gt;0,"FOUND",IF(COUNTIFS(QueueTable[subject_id],$A5,QueueTable[fact_key],"cargo_volume_l",QueueTable[result],"NOT_FOUND")&gt;0,"NOT_FOUND",IF(COUNTIFS(QueueTable[subject_id],$A5,QueueTable[fact_key],"cargo_volume_l",QueueTable[result],"CONFLICT")&gt;0,"CONFLICT","OPEN")))</x:f>
        <x:v>FOUND</x:v>
      </x:c>
      <x:c r="F5" s="26" t="str">
        <x:f>IF(COUNTIFS(QueueTable[subject_id],$A5,QueueTable[fact_key],"ground_clearance_mm",QueueTable[result],"FOUND")&gt;0,"FOUND",IF(COUNTIFS(QueueTable[subject_id],$A5,QueueTable[fact_key],"ground_clearance_mm",QueueTable[result],"NOT_FOUND")&gt;0,"NOT_FOUND",IF(COUNTIFS(QueueTable[subject_id],$A5,QueueTable[fact_key],"ground_clearance_mm",QueueTable[result],"CONFLICT")&gt;0,"CONFLICT","OPEN")))</x:f>
        <x:v>FOUND</x:v>
      </x:c>
      <x:c r="G5" s="26" t="str">
        <x:f>IF(COUNTIFS(QueueTable[subject_id],$A5,QueueTable[fact_key],"efficiency_or_range_core",QueueTable[result],"FOUND")&gt;0,"FOUND",IF(COUNTIFS(QueueTable[subject_id],$A5,QueueTable[fact_key],"efficiency_or_range_core",QueueTable[result],"NOT_FOUND")&gt;0,"NOT_FOUND",IF(COUNTIFS(QueueTable[subject_id],$A5,QueueTable[fact_key],"efficiency_or_range_core",QueueTable[result],"CONFLICT")&gt;0,"CONFLICT","OPEN")))</x:f>
        <x:v>FOUND</x:v>
      </x:c>
      <x:c r="H5" s="26" t="str">
        <x:f>IF(COUNTIFS(QueueTable[subject_id],$A5,QueueTable[fact_key],"equipment_mvp_core",QueueTable[result],"FOUND")&gt;0,"FOUND",IF(COUNTIFS(QueueTable[subject_id],$A5,QueueTable[fact_key],"equipment_mvp_core",QueueTable[result],"NOT_FOUND")&gt;0,"NOT_FOUND",IF(COUNTIFS(QueueTable[subject_id],$A5,QueueTable[fact_key],"equipment_mvp_core",QueueTable[result],"CONFLICT")&gt;0,"CONFLICT","OPEN")))</x:f>
        <x:v>FOUND</x:v>
      </x:c>
      <x:c r="I5" s="26" t="n">
        <x:f>COUNTIFS(QueueTable[subject_id],$A5,QueueTable[collection_status],"COMPLETE")</x:f>
        <x:v>6</x:v>
      </x:c>
      <x:c r="J5" s="26" t="n">
        <x:f>COUNTIFS(QueueTable[subject_id],$A5,QueueTable[result],"NOT_FOUND")+COUNTIFS(QueueTable[subject_id],$A5,QueueTable[result],"CONFLICT")</x:f>
        <x:v>0</x:v>
      </x:c>
      <x:c r="K5" s="61" t="n">
        <x:f>COUNTIF(C5:H5,"FOUND")/6</x:f>
        <x:v>1</x:v>
      </x:c>
      <x:c r="L5" s="26" t="str">
        <x:f>IF(COUNTIF(C5:H5,"FOUND")=6,"PASS",IF(COUNTIF(C5:H5,"OPEN")&gt;0,"HOLD",IF(COUNTIF(C5:H5,"CONFLICT")&gt;0,"PASS WITH GAPS",IF(COUNTIF(C5:H5,"NOT_FOUND")&lt;=2,"PASS WITH GAPS","PASS WITH REDUCTION"))))</x:f>
        <x:v>PASS</x:v>
      </x:c>
      <x:c r="N5" t="str">
        <x:v>Evidence FOUND</x:v>
      </x:c>
      <x:c r="O5" t="n">
        <x:f>COUNTIF(QueueTable[result],"FOUND")</x:f>
        <x:v>41</x:v>
      </x:c>
    </x:row>
    <x:row r="6">
      <x:c r="A6" s="26" t="str">
        <x:v>CFG-000005</x:v>
      </x:c>
      <x:c r="B6" s="26" t="str">
        <x:v>BYD SEAL U DM-i</x:v>
      </x:c>
      <x:c r="C6" s="26" t="str">
        <x:f>IF(COUNTIFS(QueueTable[subject_id],$A6,QueueTable[fact_key],"identity_exact_configuration",QueueTable[result],"FOUND")&gt;0,"FOUND",IF(COUNTIFS(QueueTable[subject_id],$A6,QueueTable[fact_key],"identity_exact_configuration",QueueTable[result],"NOT_FOUND")&gt;0,"NOT_FOUND",IF(COUNTIFS(QueueTable[subject_id],$A6,QueueTable[fact_key],"identity_exact_configuration",QueueTable[result],"CONFLICT")&gt;0,"CONFLICT","OPEN")))</x:f>
        <x:v>FOUND</x:v>
      </x:c>
      <x:c r="D6" s="26" t="str">
        <x:f>IF(COUNTIFS(QueueTable[subject_id],$A6,QueueTable[fact_key],"dimensions_core",QueueTable[result],"FOUND")&gt;0,"FOUND",IF(COUNTIFS(QueueTable[subject_id],$A6,QueueTable[fact_key],"dimensions_core",QueueTable[result],"NOT_FOUND")&gt;0,"NOT_FOUND",IF(COUNTIFS(QueueTable[subject_id],$A6,QueueTable[fact_key],"dimensions_core",QueueTable[result],"CONFLICT")&gt;0,"CONFLICT","OPEN")))</x:f>
        <x:v>FOUND</x:v>
      </x:c>
      <x:c r="E6" s="26" t="str">
        <x:f>IF(COUNTIFS(QueueTable[subject_id],$A6,QueueTable[fact_key],"cargo_volume_l",QueueTable[result],"FOUND")&gt;0,"FOUND",IF(COUNTIFS(QueueTable[subject_id],$A6,QueueTable[fact_key],"cargo_volume_l",QueueTable[result],"NOT_FOUND")&gt;0,"NOT_FOUND",IF(COUNTIFS(QueueTable[subject_id],$A6,QueueTable[fact_key],"cargo_volume_l",QueueTable[result],"CONFLICT")&gt;0,"CONFLICT","OPEN")))</x:f>
        <x:v>FOUND</x:v>
      </x:c>
      <x:c r="F6" s="26" t="str">
        <x:f>IF(COUNTIFS(QueueTable[subject_id],$A6,QueueTable[fact_key],"ground_clearance_mm",QueueTable[result],"FOUND")&gt;0,"FOUND",IF(COUNTIFS(QueueTable[subject_id],$A6,QueueTable[fact_key],"ground_clearance_mm",QueueTable[result],"NOT_FOUND")&gt;0,"NOT_FOUND",IF(COUNTIFS(QueueTable[subject_id],$A6,QueueTable[fact_key],"ground_clearance_mm",QueueTable[result],"CONFLICT")&gt;0,"CONFLICT","OPEN")))</x:f>
        <x:v>NOT_FOUND</x:v>
      </x:c>
      <x:c r="G6" s="26" t="str">
        <x:f>IF(COUNTIFS(QueueTable[subject_id],$A6,QueueTable[fact_key],"efficiency_or_range_core",QueueTable[result],"FOUND")&gt;0,"FOUND",IF(COUNTIFS(QueueTable[subject_id],$A6,QueueTable[fact_key],"efficiency_or_range_core",QueueTable[result],"NOT_FOUND")&gt;0,"NOT_FOUND",IF(COUNTIFS(QueueTable[subject_id],$A6,QueueTable[fact_key],"efficiency_or_range_core",QueueTable[result],"CONFLICT")&gt;0,"CONFLICT","OPEN")))</x:f>
        <x:v>FOUND</x:v>
      </x:c>
      <x:c r="H6" s="26" t="str">
        <x:f>IF(COUNTIFS(QueueTable[subject_id],$A6,QueueTable[fact_key],"equipment_mvp_core",QueueTable[result],"FOUND")&gt;0,"FOUND",IF(COUNTIFS(QueueTable[subject_id],$A6,QueueTable[fact_key],"equipment_mvp_core",QueueTable[result],"NOT_FOUND")&gt;0,"NOT_FOUND",IF(COUNTIFS(QueueTable[subject_id],$A6,QueueTable[fact_key],"equipment_mvp_core",QueueTable[result],"CONFLICT")&gt;0,"CONFLICT","OPEN")))</x:f>
        <x:v>FOUND</x:v>
      </x:c>
      <x:c r="I6" s="26" t="n">
        <x:f>COUNTIFS(QueueTable[subject_id],$A6,QueueTable[collection_status],"COMPLETE")</x:f>
        <x:v>6</x:v>
      </x:c>
      <x:c r="J6" s="26" t="n">
        <x:f>COUNTIFS(QueueTable[subject_id],$A6,QueueTable[result],"NOT_FOUND")+COUNTIFS(QueueTable[subject_id],$A6,QueueTable[result],"CONFLICT")</x:f>
        <x:v>1</x:v>
      </x:c>
      <x:c r="K6" s="61" t="n">
        <x:f>COUNTIF(C6:H6,"FOUND")/6</x:f>
        <x:v>0.8333333333333334</x:v>
      </x:c>
      <x:c r="L6" s="26" t="str">
        <x:f>IF(COUNTIF(C6:H6,"FOUND")=6,"PASS",IF(COUNTIF(C6:H6,"OPEN")&gt;0,"HOLD",IF(COUNTIF(C6:H6,"CONFLICT")&gt;0,"PASS WITH GAPS",IF(COUNTIF(C6:H6,"NOT_FOUND")&lt;=2,"PASS WITH GAPS","PASS WITH REDUCTION"))))</x:f>
        <x:v>PASS WITH GAPS</x:v>
      </x:c>
      <x:c r="N6" t="str">
        <x:v>NOT_FOUND</x:v>
      </x:c>
      <x:c r="O6" t="n">
        <x:f>COUNTIF(QueueTable[result],"NOT_FOUND")</x:f>
        <x:v>6</x:v>
      </x:c>
    </x:row>
    <x:row r="7">
      <x:c r="A7" s="26" t="str">
        <x:v>CFG-000006</x:v>
      </x:c>
      <x:c r="B7" s="26" t="str">
        <x:v>Kia EV3</x:v>
      </x:c>
      <x:c r="C7" s="26" t="str">
        <x:f>IF(COUNTIFS(QueueTable[subject_id],$A7,QueueTable[fact_key],"identity_exact_configuration",QueueTable[result],"FOUND")&gt;0,"FOUND",IF(COUNTIFS(QueueTable[subject_id],$A7,QueueTable[fact_key],"identity_exact_configuration",QueueTable[result],"NOT_FOUND")&gt;0,"NOT_FOUND",IF(COUNTIFS(QueueTable[subject_id],$A7,QueueTable[fact_key],"identity_exact_configuration",QueueTable[result],"CONFLICT")&gt;0,"CONFLICT","OPEN")))</x:f>
        <x:v>FOUND</x:v>
      </x:c>
      <x:c r="D7" s="26" t="str">
        <x:f>IF(COUNTIFS(QueueTable[subject_id],$A7,QueueTable[fact_key],"dimensions_core",QueueTable[result],"FOUND")&gt;0,"FOUND",IF(COUNTIFS(QueueTable[subject_id],$A7,QueueTable[fact_key],"dimensions_core",QueueTable[result],"NOT_FOUND")&gt;0,"NOT_FOUND",IF(COUNTIFS(QueueTable[subject_id],$A7,QueueTable[fact_key],"dimensions_core",QueueTable[result],"CONFLICT")&gt;0,"CONFLICT","OPEN")))</x:f>
        <x:v>FOUND</x:v>
      </x:c>
      <x:c r="E7" s="26" t="str">
        <x:f>IF(COUNTIFS(QueueTable[subject_id],$A7,QueueTable[fact_key],"cargo_volume_l",QueueTable[result],"FOUND")&gt;0,"FOUND",IF(COUNTIFS(QueueTable[subject_id],$A7,QueueTable[fact_key],"cargo_volume_l",QueueTable[result],"NOT_FOUND")&gt;0,"NOT_FOUND",IF(COUNTIFS(QueueTable[subject_id],$A7,QueueTable[fact_key],"cargo_volume_l",QueueTable[result],"CONFLICT")&gt;0,"CONFLICT","OPEN")))</x:f>
        <x:v>FOUND</x:v>
      </x:c>
      <x:c r="F7" s="26" t="str">
        <x:f>IF(COUNTIFS(QueueTable[subject_id],$A7,QueueTable[fact_key],"ground_clearance_mm",QueueTable[result],"FOUND")&gt;0,"FOUND",IF(COUNTIFS(QueueTable[subject_id],$A7,QueueTable[fact_key],"ground_clearance_mm",QueueTable[result],"NOT_FOUND")&gt;0,"NOT_FOUND",IF(COUNTIFS(QueueTable[subject_id],$A7,QueueTable[fact_key],"ground_clearance_mm",QueueTable[result],"CONFLICT")&gt;0,"CONFLICT","OPEN")))</x:f>
        <x:v>FOUND</x:v>
      </x:c>
      <x:c r="G7" s="26" t="str">
        <x:f>IF(COUNTIFS(QueueTable[subject_id],$A7,QueueTable[fact_key],"efficiency_or_range_core",QueueTable[result],"FOUND")&gt;0,"FOUND",IF(COUNTIFS(QueueTable[subject_id],$A7,QueueTable[fact_key],"efficiency_or_range_core",QueueTable[result],"NOT_FOUND")&gt;0,"NOT_FOUND",IF(COUNTIFS(QueueTable[subject_id],$A7,QueueTable[fact_key],"efficiency_or_range_core",QueueTable[result],"CONFLICT")&gt;0,"CONFLICT","OPEN")))</x:f>
        <x:v>FOUND</x:v>
      </x:c>
      <x:c r="H7" s="26" t="str">
        <x:f>IF(COUNTIFS(QueueTable[subject_id],$A7,QueueTable[fact_key],"equipment_mvp_core",QueueTable[result],"FOUND")&gt;0,"FOUND",IF(COUNTIFS(QueueTable[subject_id],$A7,QueueTable[fact_key],"equipment_mvp_core",QueueTable[result],"NOT_FOUND")&gt;0,"NOT_FOUND",IF(COUNTIFS(QueueTable[subject_id],$A7,QueueTable[fact_key],"equipment_mvp_core",QueueTable[result],"CONFLICT")&gt;0,"CONFLICT","OPEN")))</x:f>
        <x:v>FOUND</x:v>
      </x:c>
      <x:c r="I7" s="26" t="n">
        <x:f>COUNTIFS(QueueTable[subject_id],$A7,QueueTable[collection_status],"COMPLETE")</x:f>
        <x:v>6</x:v>
      </x:c>
      <x:c r="J7" s="26" t="n">
        <x:f>COUNTIFS(QueueTable[subject_id],$A7,QueueTable[result],"NOT_FOUND")+COUNTIFS(QueueTable[subject_id],$A7,QueueTable[result],"CONFLICT")</x:f>
        <x:v>0</x:v>
      </x:c>
      <x:c r="K7" s="61" t="n">
        <x:f>COUNTIF(C7:H7,"FOUND")/6</x:f>
        <x:v>1</x:v>
      </x:c>
      <x:c r="L7" s="26" t="str">
        <x:f>IF(COUNTIF(C7:H7,"FOUND")=6,"PASS",IF(COUNTIF(C7:H7,"OPEN")&gt;0,"HOLD",IF(COUNTIF(C7:H7,"CONFLICT")&gt;0,"PASS WITH GAPS",IF(COUNTIF(C7:H7,"NOT_FOUND")&lt;=2,"PASS WITH GAPS","PASS WITH REDUCTION"))))</x:f>
        <x:v>PASS</x:v>
      </x:c>
      <x:c r="N7" t="str">
        <x:v>CONFLICT</x:v>
      </x:c>
      <x:c r="O7" t="n">
        <x:f>COUNTIF(QueueTable[result],"CONFLICT")</x:f>
        <x:v>0</x:v>
      </x:c>
    </x:row>
    <x:row r="8">
      <x:c r="A8" s="26" t="str">
        <x:v>CFG-000007</x:v>
      </x:c>
      <x:c r="B8" s="26" t="str">
        <x:v>Togg T10X</x:v>
      </x:c>
      <x:c r="C8" s="26" t="str">
        <x:f>IF(COUNTIFS(QueueTable[subject_id],$A8,QueueTable[fact_key],"identity_exact_configuration",QueueTable[result],"FOUND")&gt;0,"FOUND",IF(COUNTIFS(QueueTable[subject_id],$A8,QueueTable[fact_key],"identity_exact_configuration",QueueTable[result],"NOT_FOUND")&gt;0,"NOT_FOUND",IF(COUNTIFS(QueueTable[subject_id],$A8,QueueTable[fact_key],"identity_exact_configuration",QueueTable[result],"CONFLICT")&gt;0,"CONFLICT","OPEN")))</x:f>
        <x:v>OPEN</x:v>
      </x:c>
      <x:c r="D8" s="26" t="str">
        <x:f>IF(COUNTIFS(QueueTable[subject_id],$A8,QueueTable[fact_key],"dimensions_core",QueueTable[result],"FOUND")&gt;0,"FOUND",IF(COUNTIFS(QueueTable[subject_id],$A8,QueueTable[fact_key],"dimensions_core",QueueTable[result],"NOT_FOUND")&gt;0,"NOT_FOUND",IF(COUNTIFS(QueueTable[subject_id],$A8,QueueTable[fact_key],"dimensions_core",QueueTable[result],"CONFLICT")&gt;0,"CONFLICT","OPEN")))</x:f>
        <x:v>NOT_FOUND</x:v>
      </x:c>
      <x:c r="E8" s="26" t="str">
        <x:f>IF(COUNTIFS(QueueTable[subject_id],$A8,QueueTable[fact_key],"cargo_volume_l",QueueTable[result],"FOUND")&gt;0,"FOUND",IF(COUNTIFS(QueueTable[subject_id],$A8,QueueTable[fact_key],"cargo_volume_l",QueueTable[result],"NOT_FOUND")&gt;0,"NOT_FOUND",IF(COUNTIFS(QueueTable[subject_id],$A8,QueueTable[fact_key],"cargo_volume_l",QueueTable[result],"CONFLICT")&gt;0,"CONFLICT","OPEN")))</x:f>
        <x:v>FOUND</x:v>
      </x:c>
      <x:c r="F8" s="26" t="str">
        <x:f>IF(COUNTIFS(QueueTable[subject_id],$A8,QueueTable[fact_key],"ground_clearance_mm",QueueTable[result],"FOUND")&gt;0,"FOUND",IF(COUNTIFS(QueueTable[subject_id],$A8,QueueTable[fact_key],"ground_clearance_mm",QueueTable[result],"NOT_FOUND")&gt;0,"NOT_FOUND",IF(COUNTIFS(QueueTable[subject_id],$A8,QueueTable[fact_key],"ground_clearance_mm",QueueTable[result],"CONFLICT")&gt;0,"CONFLICT","OPEN")))</x:f>
        <x:v>NOT_FOUND</x:v>
      </x:c>
      <x:c r="G8" s="26" t="str">
        <x:f>IF(COUNTIFS(QueueTable[subject_id],$A8,QueueTable[fact_key],"efficiency_or_range_core",QueueTable[result],"FOUND")&gt;0,"FOUND",IF(COUNTIFS(QueueTable[subject_id],$A8,QueueTable[fact_key],"efficiency_or_range_core",QueueTable[result],"NOT_FOUND")&gt;0,"NOT_FOUND",IF(COUNTIFS(QueueTable[subject_id],$A8,QueueTable[fact_key],"efficiency_or_range_core",QueueTable[result],"CONFLICT")&gt;0,"CONFLICT","OPEN")))</x:f>
        <x:v>FOUND</x:v>
      </x:c>
      <x:c r="H8" s="26" t="str">
        <x:f>IF(COUNTIFS(QueueTable[subject_id],$A8,QueueTable[fact_key],"equipment_mvp_core",QueueTable[result],"FOUND")&gt;0,"FOUND",IF(COUNTIFS(QueueTable[subject_id],$A8,QueueTable[fact_key],"equipment_mvp_core",QueueTable[result],"NOT_FOUND")&gt;0,"NOT_FOUND",IF(COUNTIFS(QueueTable[subject_id],$A8,QueueTable[fact_key],"equipment_mvp_core",QueueTable[result],"CONFLICT")&gt;0,"CONFLICT","OPEN")))</x:f>
        <x:v>FOUND</x:v>
      </x:c>
      <x:c r="I8" s="26" t="n">
        <x:f>COUNTIFS(QueueTable[subject_id],$A8,QueueTable[collection_status],"COMPLETE")</x:f>
        <x:v>5</x:v>
      </x:c>
      <x:c r="J8" s="26" t="n">
        <x:f>COUNTIFS(QueueTable[subject_id],$A8,QueueTable[result],"NOT_FOUND")+COUNTIFS(QueueTable[subject_id],$A8,QueueTable[result],"CONFLICT")</x:f>
        <x:v>2</x:v>
      </x:c>
      <x:c r="K8" s="61" t="n">
        <x:f>COUNTIF(C8:H8,"FOUND")/6</x:f>
        <x:v>0.5</x:v>
      </x:c>
      <x:c r="L8" s="26" t="str">
        <x:f>IF(COUNTIF(C8:H8,"FOUND")=6,"PASS",IF(COUNTIF(C8:H8,"OPEN")&gt;0,"HOLD",IF(COUNTIF(C8:H8,"CONFLICT")&gt;0,"PASS WITH GAPS",IF(COUNTIF(C8:H8,"NOT_FOUND")&lt;=2,"PASS WITH GAPS","PASS WITH REDUCTION"))))</x:f>
        <x:v>HOLD</x:v>
      </x:c>
      <x:c r="N8" t="str">
        <x:v>Final verdict</x:v>
      </x:c>
      <x:c r="O8" t="str">
        <x:v>SCALE READY WITH WARNINGS</x:v>
      </x:c>
    </x:row>
    <x:row r="9">
      <x:c r="A9" s="26" t="str">
        <x:v>CFG-000008</x:v>
      </x:c>
      <x:c r="B9" s="26" t="str">
        <x:v>Dacia Sandero Stepway</x:v>
      </x:c>
      <x:c r="C9" s="26" t="str">
        <x:f>IF(COUNTIFS(QueueTable[subject_id],$A9,QueueTable[fact_key],"identity_exact_configuration",QueueTable[result],"FOUND")&gt;0,"FOUND",IF(COUNTIFS(QueueTable[subject_id],$A9,QueueTable[fact_key],"identity_exact_configuration",QueueTable[result],"NOT_FOUND")&gt;0,"NOT_FOUND",IF(COUNTIFS(QueueTable[subject_id],$A9,QueueTable[fact_key],"identity_exact_configuration",QueueTable[result],"CONFLICT")&gt;0,"CONFLICT","OPEN")))</x:f>
        <x:v>FOUND</x:v>
      </x:c>
      <x:c r="D9" s="26" t="str">
        <x:f>IF(COUNTIFS(QueueTable[subject_id],$A9,QueueTable[fact_key],"dimensions_core",QueueTable[result],"FOUND")&gt;0,"FOUND",IF(COUNTIFS(QueueTable[subject_id],$A9,QueueTable[fact_key],"dimensions_core",QueueTable[result],"NOT_FOUND")&gt;0,"NOT_FOUND",IF(COUNTIFS(QueueTable[subject_id],$A9,QueueTable[fact_key],"dimensions_core",QueueTable[result],"CONFLICT")&gt;0,"CONFLICT","OPEN")))</x:f>
        <x:v>FOUND</x:v>
      </x:c>
      <x:c r="E9" s="26" t="str">
        <x:f>IF(COUNTIFS(QueueTable[subject_id],$A9,QueueTable[fact_key],"cargo_volume_l",QueueTable[result],"FOUND")&gt;0,"FOUND",IF(COUNTIFS(QueueTable[subject_id],$A9,QueueTable[fact_key],"cargo_volume_l",QueueTable[result],"NOT_FOUND")&gt;0,"NOT_FOUND",IF(COUNTIFS(QueueTable[subject_id],$A9,QueueTable[fact_key],"cargo_volume_l",QueueTable[result],"CONFLICT")&gt;0,"CONFLICT","OPEN")))</x:f>
        <x:v>FOUND</x:v>
      </x:c>
      <x:c r="F9" s="26" t="str">
        <x:f>IF(COUNTIFS(QueueTable[subject_id],$A9,QueueTable[fact_key],"ground_clearance_mm",QueueTable[result],"FOUND")&gt;0,"FOUND",IF(COUNTIFS(QueueTable[subject_id],$A9,QueueTable[fact_key],"ground_clearance_mm",QueueTable[result],"NOT_FOUND")&gt;0,"NOT_FOUND",IF(COUNTIFS(QueueTable[subject_id],$A9,QueueTable[fact_key],"ground_clearance_mm",QueueTable[result],"CONFLICT")&gt;0,"CONFLICT","OPEN")))</x:f>
        <x:v>FOUND</x:v>
      </x:c>
      <x:c r="G9" s="26" t="str">
        <x:f>IF(COUNTIFS(QueueTable[subject_id],$A9,QueueTable[fact_key],"efficiency_or_range_core",QueueTable[result],"FOUND")&gt;0,"FOUND",IF(COUNTIFS(QueueTable[subject_id],$A9,QueueTable[fact_key],"efficiency_or_range_core",QueueTable[result],"NOT_FOUND")&gt;0,"NOT_FOUND",IF(COUNTIFS(QueueTable[subject_id],$A9,QueueTable[fact_key],"efficiency_or_range_core",QueueTable[result],"CONFLICT")&gt;0,"CONFLICT","OPEN")))</x:f>
        <x:v>FOUND</x:v>
      </x:c>
      <x:c r="H9" s="26" t="str">
        <x:f>IF(COUNTIFS(QueueTable[subject_id],$A9,QueueTable[fact_key],"equipment_mvp_core",QueueTable[result],"FOUND")&gt;0,"FOUND",IF(COUNTIFS(QueueTable[subject_id],$A9,QueueTable[fact_key],"equipment_mvp_core",QueueTable[result],"NOT_FOUND")&gt;0,"NOT_FOUND",IF(COUNTIFS(QueueTable[subject_id],$A9,QueueTable[fact_key],"equipment_mvp_core",QueueTable[result],"CONFLICT")&gt;0,"CONFLICT","OPEN")))</x:f>
        <x:v>FOUND</x:v>
      </x:c>
      <x:c r="I9" s="26" t="n">
        <x:f>COUNTIFS(QueueTable[subject_id],$A9,QueueTable[collection_status],"COMPLETE")</x:f>
        <x:v>6</x:v>
      </x:c>
      <x:c r="J9" s="26" t="n">
        <x:f>COUNTIFS(QueueTable[subject_id],$A9,QueueTable[result],"NOT_FOUND")+COUNTIFS(QueueTable[subject_id],$A9,QueueTable[result],"CONFLICT")</x:f>
        <x:v>0</x:v>
      </x:c>
      <x:c r="K9" s="61" t="n">
        <x:f>COUNTIF(C9:H9,"FOUND")/6</x:f>
        <x:v>1</x:v>
      </x:c>
      <x:c r="L9" s="26" t="str">
        <x:f>IF(COUNTIF(C9:H9,"FOUND")=6,"PASS",IF(COUNTIF(C9:H9,"OPEN")&gt;0,"HOLD",IF(COUNTIF(C9:H9,"CONFLICT")&gt;0,"PASS WITH GAPS",IF(COUNTIF(C9:H9,"NOT_FOUND")&lt;=2,"PASS WITH GAPS","PASS WITH REDUCTION"))))</x:f>
        <x:v>PASS</x:v>
      </x:c>
    </x:row>
  </x:sheetData>
  <x:conditionalFormatting sqref="L2:L9">
    <x:cfRule type="expression" dxfId="6" priority="4">
      <x:formula>L2="PASS"</x:formula>
    </x:cfRule>
    <x:cfRule type="expression" dxfId="7" priority="5">
      <x:formula>L2="PASS WITH GAPS"</x:formula>
    </x:cfRule>
    <x:cfRule type="expression" dxfId="8" priority="6">
      <x:formula>L2="HOLD"</x:formula>
    </x:cfRule>
  </x:conditionalFormatting>
  <x:conditionalFormatting sqref="C2:H9">
    <x:cfRule type="expression" dxfId="9" priority="7">
      <x:formula>C2="FOUND"</x:formula>
    </x:cfRule>
    <x:cfRule type="expression" dxfId="10" priority="8">
      <x:formula>C2="NOT_FOUND"</x:formula>
    </x:cfRule>
    <x:cfRule type="expression" dxfId="11" priority="9">
      <x:formula>C2="CONFLICT"</x:formula>
    </x:cfRule>
    <x:cfRule type="expression" dxfId="12" priority="10">
      <x:formula>C2="OPEN"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6.559999942779541" hidden="0" customWidth="1"/>
    <x:col min="3" max="3" width="12.779999732971191" hidden="0" customWidth="1"/>
    <x:col min="4" max="4" width="11.220000267028809" hidden="0" customWidth="1"/>
    <x:col min="5" max="5" width="11.109999656677246" hidden="0" customWidth="1"/>
    <x:col min="6" max="6" width="34" hidden="0" customWidth="1"/>
    <x:col min="7" max="7" width="34" hidden="0" customWidth="1"/>
    <x:col min="8" max="8" width="12" hidden="0" customWidth="1"/>
    <x:col min="9" max="9" width="11.220000267028809" hidden="0" customWidth="1"/>
    <x:col min="10" max="10" width="10.329999923706055" hidden="0" customWidth="1"/>
    <x:col min="11" max="11" width="13.670000076293945" hidden="0" customWidth="1"/>
    <x:col min="12" max="12" width="14.890000343322754" hidden="0" customWidth="1"/>
    <x:col min="13" max="13" width="14.4399995803833" hidden="0" customWidth="1"/>
    <x:col min="14" max="14" width="10.329999923706055" hidden="0" customWidth="1"/>
    <x:col min="15" max="15" width="9.670000076293945" hidden="0" customWidth="1"/>
  </x:cols>
  <x:sheetData>
    <x:row r="1" ht="15" hidden="0" customHeight="1">
      <x:c r="A1" s="82" t="str">
        <x:v>Model</x:v>
      </x:c>
      <x:c r="B1" s="82" t="str">
        <x:v>Brand</x:v>
      </x:c>
      <x:c r="C1" s="82" t="str">
        <x:v>Segment</x:v>
      </x:c>
      <x:c r="D1" s="82" t="str">
        <x:v>Propulsion</x:v>
      </x:c>
      <x:c r="E1" s="82" t="str">
        <x:v>Pool</x:v>
      </x:c>
      <x:c r="F1" s="82" t="str">
        <x:v>Why Included</x:v>
      </x:c>
      <x:c r="G1" s="82" t="str">
        <x:v>TR Availability Evidence</x:v>
      </x:c>
      <x:c r="H1" s="82" t="str">
        <x:v>Configurations</x:v>
      </x:c>
      <x:c r="I1" s="82" t="str">
        <x:v>Identity</x:v>
      </x:c>
      <x:c r="J1" s="82" t="str">
        <x:v>Technical</x:v>
      </x:c>
      <x:c r="K1" s="82" t="str">
        <x:v>Efficiency/Range</x:v>
      </x:c>
      <x:c r="L1" s="82" t="str">
        <x:v>Family/Practicality</x:v>
      </x:c>
      <x:c r="M1" s="82" t="str">
        <x:v>Rough-road</x:v>
      </x:c>
      <x:c r="N1" s="82" t="str">
        <x:v>Equipment</x:v>
      </x:c>
      <x:c r="O1" s="82" t="str">
        <x:v>Provenance</x:v>
      </x:c>
    </x:row>
    <x:row r="2" ht="39.599998474121094" hidden="0" customHeight="1">
      <x:c r="A2" s="92" t="str">
        <x:v>i20</x:v>
      </x:c>
      <x:c r="B2" s="93" t="str">
        <x:v>Hyundai</x:v>
      </x:c>
      <x:c r="C2" s="93" t="str">
        <x:v>CITY_HATCH</x:v>
      </x:c>
      <x:c r="D2" s="93" t="str">
        <x:v>PETROL</x:v>
      </x:c>
      <x:c r="E2" s="93" t="str">
        <x:v>MAINSTREAM</x:v>
      </x:c>
      <x:c r="F2" s="93" t="str">
        <x:v>Urban footprint and current locally produced mainstream hatch; petrol/DCT coverage.</x:v>
      </x:c>
      <x:c r="G2" s="93" t="str">
        <x:v>https://www.hyundai.com/content/dam/hyundai/downloads/tr/tr/brosurler/i20-dijital-brosur.pdf</x:v>
      </x:c>
      <x:c r="H2" s="93" t="n">
        <x:v>3</x:v>
      </x:c>
      <x:c r="I2" s="93" t="str">
        <x:v>FOUND</x:v>
      </x:c>
      <x:c r="J2" s="93" t="str">
        <x:v>FOUND</x:v>
      </x:c>
      <x:c r="K2" s="93" t="str">
        <x:v>NOT_FOUND</x:v>
      </x:c>
      <x:c r="L2" s="93" t="str">
        <x:v>NOT_FOUND</x:v>
      </x:c>
      <x:c r="M2" s="93" t="str">
        <x:v>NOT_APPLICABLE</x:v>
      </x:c>
      <x:c r="N2" s="93" t="str">
        <x:v>FOUND</x:v>
      </x:c>
      <x:c r="O2" s="94" t="str">
        <x:v>FOUND</x:v>
      </x:c>
    </x:row>
    <x:row r="3" ht="26.399999618530273" hidden="0" customHeight="1">
      <x:c r="A3" s="95" t="str">
        <x:v>Civic</x:v>
      </x:c>
      <x:c r="B3" s="96" t="str">
        <x:v>Honda</x:v>
      </x:c>
      <x:c r="C3" s="96" t="str">
        <x:v>SEDAN</x:v>
      </x:c>
      <x:c r="D3" s="96" t="str">
        <x:v>LPG</x:v>
      </x:c>
      <x:c r="E3" s="96" t="str">
        <x:v>MAINSTREAM</x:v>
      </x:c>
      <x:c r="F3" s="96" t="str">
        <x:v>Turkey-relevant LPG sedan and family-use benchmark.</x:v>
      </x:c>
      <x:c r="G3" s="96" t="str">
        <x:v>https://www.honda.com.tr/otomobil</x:v>
      </x:c>
      <x:c r="H3" s="96" t="n">
        <x:v>2</x:v>
      </x:c>
      <x:c r="I3" s="96" t="str">
        <x:v>FOUND</x:v>
      </x:c>
      <x:c r="J3" s="96" t="str">
        <x:v>FOUND</x:v>
      </x:c>
      <x:c r="K3" s="96" t="str">
        <x:v>NOT_FOUND</x:v>
      </x:c>
      <x:c r="L3" s="96" t="str">
        <x:v>NOT_FOUND</x:v>
      </x:c>
      <x:c r="M3" s="96" t="str">
        <x:v>NOT_APPLICABLE</x:v>
      </x:c>
      <x:c r="N3" s="96" t="str">
        <x:v>NOT_FOUND</x:v>
      </x:c>
      <x:c r="O3" s="97" t="str">
        <x:v>FOUND</x:v>
      </x:c>
    </x:row>
    <x:row r="4" ht="39.599998474121094" hidden="0" customHeight="1">
      <x:c r="A4" s="95" t="str">
        <x:v>Qashqai</x:v>
      </x:c>
      <x:c r="B4" s="96" t="str">
        <x:v>Nissan</x:v>
      </x:c>
      <x:c r="C4" s="96" t="str">
        <x:v>C_SUV</x:v>
      </x:c>
      <x:c r="D4" s="96" t="str">
        <x:v>MHEV + HEV</x:v>
      </x:c>
      <x:c r="E4" s="96" t="str">
        <x:v>MAINSTREAM</x:v>
      </x:c>
      <x:c r="F4" s="96" t="str">
        <x:v>High-relevance C-SUV with distinct MHEV and e-POWER architectures.</x:v>
      </x:c>
      <x:c r="G4" s="96" t="str">
        <x:v>https://www.nissan.com.tr/content/dam/Nissan/turkey/brochures/NISSAN_QASHQAI_BROSUR_260211_WEB.pdf</x:v>
      </x:c>
      <x:c r="H4" s="96" t="n">
        <x:v>2</x:v>
      </x:c>
      <x:c r="I4" s="96" t="str">
        <x:v>FOUND</x:v>
      </x:c>
      <x:c r="J4" s="96" t="str">
        <x:v>FOUND</x:v>
      </x:c>
      <x:c r="K4" s="96" t="str">
        <x:v>FOUND</x:v>
      </x:c>
      <x:c r="L4" s="96" t="str">
        <x:v>NOT_FOUND</x:v>
      </x:c>
      <x:c r="M4" s="96" t="str">
        <x:v>NOT_APPLICABLE</x:v>
      </x:c>
      <x:c r="N4" s="96" t="str">
        <x:v>NOT_FOUND</x:v>
      </x:c>
      <x:c r="O4" s="97" t="str">
        <x:v>FOUND</x:v>
      </x:c>
    </x:row>
    <x:row r="5" ht="26.399999618530273" hidden="0" customHeight="1">
      <x:c r="A5" s="95" t="str">
        <x:v>Octavia Combi</x:v>
      </x:c>
      <x:c r="B5" s="96" t="str">
        <x:v>Škoda</x:v>
      </x:c>
      <x:c r="C5" s="96" t="str">
        <x:v>WAGON</x:v>
      </x:c>
      <x:c r="D5" s="96" t="str">
        <x:v>MHEV</x:v>
      </x:c>
      <x:c r="E5" s="96" t="str">
        <x:v>MAINSTREAM</x:v>
      </x:c>
      <x:c r="F5" s="96" t="str">
        <x:v>Practical-family wagon coverage, underrepresented in the pilot.</x:v>
      </x:c>
      <x:c r="G5" s="96" t="str">
        <x:v>https://www.skoda.com.tr/modeller/octavia</x:v>
      </x:c>
      <x:c r="H5" s="96" t="n">
        <x:v>1</x:v>
      </x:c>
      <x:c r="I5" s="96" t="str">
        <x:v>FOUND</x:v>
      </x:c>
      <x:c r="J5" s="96" t="str">
        <x:v>FOUND</x:v>
      </x:c>
      <x:c r="K5" s="96" t="str">
        <x:v>FOUND</x:v>
      </x:c>
      <x:c r="L5" s="96" t="str">
        <x:v>NOT_FOUND</x:v>
      </x:c>
      <x:c r="M5" s="96" t="str">
        <x:v>NOT_APPLICABLE</x:v>
      </x:c>
      <x:c r="N5" s="96" t="str">
        <x:v>NOT_FOUND</x:v>
      </x:c>
      <x:c r="O5" s="97" t="str">
        <x:v>FOUND</x:v>
      </x:c>
    </x:row>
    <x:row r="6" ht="26.399999618530273" hidden="0" customHeight="1">
      <x:c r="A6" s="95" t="str">
        <x:v>Jogger</x:v>
      </x:c>
      <x:c r="B6" s="96" t="str">
        <x:v>Dacia</x:v>
      </x:c>
      <x:c r="C6" s="96" t="str">
        <x:v>FAMILY_MPV</x:v>
      </x:c>
      <x:c r="D6" s="96" t="str">
        <x:v>LPG</x:v>
      </x:c>
      <x:c r="E6" s="96" t="str">
        <x:v>MAINSTREAM</x:v>
      </x:c>
      <x:c r="F6" s="96" t="str">
        <x:v>Seven-seat/practical family role and value-led discovery use case.</x:v>
      </x:c>
      <x:c r="G6" s="96" t="str">
        <x:v>https://www.dacia.com.tr/modeller/yeni-jogger/karsilastirma.html</x:v>
      </x:c>
      <x:c r="H6" s="96" t="n">
        <x:v>1</x:v>
      </x:c>
      <x:c r="I6" s="96" t="str">
        <x:v>PROVISIONAL</x:v>
      </x:c>
      <x:c r="J6" s="96" t="str">
        <x:v>NOT_FOUND</x:v>
      </x:c>
      <x:c r="K6" s="96" t="str">
        <x:v>NOT_FOUND</x:v>
      </x:c>
      <x:c r="L6" s="96" t="str">
        <x:v>NOT_FOUND</x:v>
      </x:c>
      <x:c r="M6" s="96" t="str">
        <x:v>NOT_APPLICABLE</x:v>
      </x:c>
      <x:c r="N6" s="96" t="str">
        <x:v>NOT_FOUND</x:v>
      </x:c>
      <x:c r="O6" s="97" t="str">
        <x:v>FOUND</x:v>
      </x:c>
    </x:row>
    <x:row r="7" ht="26.399999618530273" hidden="0" customHeight="1">
      <x:c r="A7" s="95" t="str">
        <x:v>Austral</x:v>
      </x:c>
      <x:c r="B7" s="96" t="str">
        <x:v>Renault</x:v>
      </x:c>
      <x:c r="C7" s="96" t="str">
        <x:v>FAMILY_SUV</x:v>
      </x:c>
      <x:c r="D7" s="96" t="str">
        <x:v>HEV</x:v>
      </x:c>
      <x:c r="E7" s="96" t="str">
        <x:v>MAINSTREAM</x:v>
      </x:c>
      <x:c r="F7" s="96" t="str">
        <x:v>Full-hybrid family SUV and long-range mainstream role.</x:v>
      </x:c>
      <x:c r="G7" s="96" t="str">
        <x:v>https://www.renault.com.tr/hybrid-araclar/renault-austral-2025/modeller-versiyonlar.html</x:v>
      </x:c>
      <x:c r="H7" s="96" t="n">
        <x:v>1</x:v>
      </x:c>
      <x:c r="I7" s="96" t="str">
        <x:v>FOUND</x:v>
      </x:c>
      <x:c r="J7" s="96" t="str">
        <x:v>FOUND</x:v>
      </x:c>
      <x:c r="K7" s="96" t="str">
        <x:v>FOUND</x:v>
      </x:c>
      <x:c r="L7" s="96" t="str">
        <x:v>NOT_FOUND</x:v>
      </x:c>
      <x:c r="M7" s="96" t="str">
        <x:v>NOT_APPLICABLE</x:v>
      </x:c>
      <x:c r="N7" s="96" t="str">
        <x:v>NOT_FOUND</x:v>
      </x:c>
      <x:c r="O7" s="97" t="str">
        <x:v>FOUND</x:v>
      </x:c>
    </x:row>
    <x:row r="8" ht="39.599998474121094" hidden="0" customHeight="1">
      <x:c r="A8" s="95" t="str">
        <x:v>C-HR</x:v>
      </x:c>
      <x:c r="B8" s="96" t="str">
        <x:v>Toyota</x:v>
      </x:c>
      <x:c r="C8" s="96" t="str">
        <x:v>C_SUV</x:v>
      </x:c>
      <x:c r="D8" s="96" t="str">
        <x:v>HEV</x:v>
      </x:c>
      <x:c r="E8" s="96" t="str">
        <x:v>MAINSTREAM</x:v>
      </x:c>
      <x:c r="F8" s="96" t="str">
        <x:v>Locally produced HEV crossover with exact 2026 trim matrix.</x:v>
      </x:c>
      <x:c r="G8" s="96" t="str">
        <x:v>https://www.toyota.com.tr/content/dam/toyota/nmsc/turkey/cars/e-brosur/toyota-c-hr/TOYOTA_CHR_Teknik_Ozellikler-2026-06.pdf</x:v>
      </x:c>
      <x:c r="H8" s="96" t="n">
        <x:v>2</x:v>
      </x:c>
      <x:c r="I8" s="96" t="str">
        <x:v>FOUND</x:v>
      </x:c>
      <x:c r="J8" s="96" t="str">
        <x:v>FOUND</x:v>
      </x:c>
      <x:c r="K8" s="96" t="str">
        <x:v>FOUND</x:v>
      </x:c>
      <x:c r="L8" s="96" t="str">
        <x:v>FOUND</x:v>
      </x:c>
      <x:c r="M8" s="96" t="str">
        <x:v>NOT_APPLICABLE</x:v>
      </x:c>
      <x:c r="N8" s="96" t="str">
        <x:v>FOUND</x:v>
      </x:c>
      <x:c r="O8" s="97" t="str">
        <x:v>FOUND</x:v>
      </x:c>
    </x:row>
    <x:row r="9" ht="26.399999618530273" hidden="0" customHeight="1">
      <x:c r="A9" s="95" t="str">
        <x:v>Jazz e:HEV</x:v>
      </x:c>
      <x:c r="B9" s="96" t="str">
        <x:v>Honda</x:v>
      </x:c>
      <x:c r="C9" s="96" t="str">
        <x:v>CITY_HATCH</x:v>
      </x:c>
      <x:c r="D9" s="96" t="str">
        <x:v>HEV</x:v>
      </x:c>
      <x:c r="E9" s="96" t="str">
        <x:v>MAINSTREAM</x:v>
      </x:c>
      <x:c r="F9" s="96" t="str">
        <x:v>Space-efficient HEV hatch with exact current Turkey trim.</x:v>
      </x:c>
      <x:c r="G9" s="96" t="str">
        <x:v>https://www.honda.com.tr/otomobil/yeni-bir-honda/honda-model-karsilastirma</x:v>
      </x:c>
      <x:c r="H9" s="96" t="n">
        <x:v>1</x:v>
      </x:c>
      <x:c r="I9" s="96" t="str">
        <x:v>FOUND</x:v>
      </x:c>
      <x:c r="J9" s="96" t="str">
        <x:v>FOUND</x:v>
      </x:c>
      <x:c r="K9" s="96" t="str">
        <x:v>NOT_FOUND</x:v>
      </x:c>
      <x:c r="L9" s="96" t="str">
        <x:v>NOT_FOUND</x:v>
      </x:c>
      <x:c r="M9" s="96" t="str">
        <x:v>NOT_APPLICABLE</x:v>
      </x:c>
      <x:c r="N9" s="96" t="str">
        <x:v>NOT_FOUND</x:v>
      </x:c>
      <x:c r="O9" s="97" t="str">
        <x:v>FOUND</x:v>
      </x:c>
    </x:row>
    <x:row r="10" ht="26.399999618530273" hidden="0" customHeight="1">
      <x:c r="A10" s="95" t="str">
        <x:v>Crosstrek</x:v>
      </x:c>
      <x:c r="B10" s="96" t="str">
        <x:v>Subaru</x:v>
      </x:c>
      <x:c r="C10" s="96" t="str">
        <x:v>ROUGH_ROAD</x:v>
      </x:c>
      <x:c r="D10" s="96" t="str">
        <x:v>HEV</x:v>
      </x:c>
      <x:c r="E10" s="96" t="str">
        <x:v>DISCOVERY</x:v>
      </x:c>
      <x:c r="F10" s="96" t="str">
        <x:v>AWD, 220 mm clearance and rough-road/camping relevance.</x:v>
      </x:c>
      <x:c r="G10" s="96" t="str">
        <x:v>https://subaru.com.tr/documents/SUBARU_CROSSTREK_TeknikFoy.pdf</x:v>
      </x:c>
      <x:c r="H10" s="96" t="n">
        <x:v>1</x:v>
      </x:c>
      <x:c r="I10" s="96" t="str">
        <x:v>FOUND</x:v>
      </x:c>
      <x:c r="J10" s="96" t="str">
        <x:v>FOUND</x:v>
      </x:c>
      <x:c r="K10" s="96" t="str">
        <x:v>FOUND</x:v>
      </x:c>
      <x:c r="L10" s="96" t="str">
        <x:v>FOUND</x:v>
      </x:c>
      <x:c r="M10" s="96" t="str">
        <x:v>FOUND</x:v>
      </x:c>
      <x:c r="N10" s="96" t="str">
        <x:v>FOUND</x:v>
      </x:c>
      <x:c r="O10" s="97" t="str">
        <x:v>FOUND</x:v>
      </x:c>
    </x:row>
    <x:row r="11" ht="39.599998474121094" hidden="0" customHeight="1">
      <x:c r="A11" s="95" t="str">
        <x:v>Formentor</x:v>
      </x:c>
      <x:c r="B11" s="96" t="str">
        <x:v>CUPRA</x:v>
      </x:c>
      <x:c r="C11" s="96" t="str">
        <x:v>SPORT_CUV</x:v>
      </x:c>
      <x:c r="D11" s="96" t="str">
        <x:v>MHEV + PHEV</x:v>
      </x:c>
      <x:c r="E11" s="96" t="str">
        <x:v>DISCOVERY</x:v>
      </x:c>
      <x:c r="F11" s="96" t="str">
        <x:v>Discovery-oriented CUV; adds both MHEV and long-range PHEV evidence.</x:v>
      </x:c>
      <x:c r="G11" s="96" t="str">
        <x:v>https://fs.cupraofficial.com.tr/assets/pdfs/Formentor/CUPRA%20FORMENTOR%20MODEL%20KATALOGU-KASIM%202025.pdf</x:v>
      </x:c>
      <x:c r="H11" s="96" t="n">
        <x:v>2</x:v>
      </x:c>
      <x:c r="I11" s="96" t="str">
        <x:v>FOUND</x:v>
      </x:c>
      <x:c r="J11" s="96" t="str">
        <x:v>FOUND</x:v>
      </x:c>
      <x:c r="K11" s="96" t="str">
        <x:v>FOUND</x:v>
      </x:c>
      <x:c r="L11" s="96" t="str">
        <x:v>NOT_FOUND</x:v>
      </x:c>
      <x:c r="M11" s="96" t="str">
        <x:v>NOT_APPLICABLE</x:v>
      </x:c>
      <x:c r="N11" s="96" t="str">
        <x:v>FOUND</x:v>
      </x:c>
      <x:c r="O11" s="97" t="str">
        <x:v>FOUND</x:v>
      </x:c>
    </x:row>
    <x:row r="12" ht="26.399999618530273" hidden="0" customHeight="1">
      <x:c r="A12" s="95" t="str">
        <x:v>HS Hybrid+</x:v>
      </x:c>
      <x:c r="B12" s="96" t="str">
        <x:v>MG</x:v>
      </x:c>
      <x:c r="C12" s="96" t="str">
        <x:v>FAMILY_SUV</x:v>
      </x:c>
      <x:c r="D12" s="96" t="str">
        <x:v>HEV</x:v>
      </x:c>
      <x:c r="E12" s="96" t="str">
        <x:v>DISCOVERY</x:v>
      </x:c>
      <x:c r="F12" s="96" t="str">
        <x:v>New Turkey-market high-power HEV family SUV alternative.</x:v>
      </x:c>
      <x:c r="G12" s="96" t="str">
        <x:v>https://www.mg-turkey.com/tr/hs-hybrid.html</x:v>
      </x:c>
      <x:c r="H12" s="96" t="n">
        <x:v>1</x:v>
      </x:c>
      <x:c r="I12" s="96" t="str">
        <x:v>FOUND</x:v>
      </x:c>
      <x:c r="J12" s="96" t="str">
        <x:v>FOUND</x:v>
      </x:c>
      <x:c r="K12" s="96" t="str">
        <x:v>FOUND</x:v>
      </x:c>
      <x:c r="L12" s="96" t="str">
        <x:v>FOUND</x:v>
      </x:c>
      <x:c r="M12" s="96" t="str">
        <x:v>NOT_APPLICABLE</x:v>
      </x:c>
      <x:c r="N12" s="96" t="str">
        <x:v>FOUND</x:v>
      </x:c>
      <x:c r="O12" s="97" t="str">
        <x:v>FOUND</x:v>
      </x:c>
    </x:row>
    <x:row r="13" ht="26.399999618530273" hidden="0" customHeight="1">
      <x:c r="A13" s="95" t="str">
        <x:v>Elroq</x:v>
      </x:c>
      <x:c r="B13" s="96" t="str">
        <x:v>Škoda</x:v>
      </x:c>
      <x:c r="C13" s="96" t="str">
        <x:v>BEV_C_SUV</x:v>
      </x:c>
      <x:c r="D13" s="96" t="str">
        <x:v>BEV</x:v>
      </x:c>
      <x:c r="E13" s="96" t="str">
        <x:v>DISCOVERY</x:v>
      </x:c>
      <x:c r="F13" s="96" t="str">
        <x:v>Current Turkey-market BEV with structured battery/range/charging evidence.</x:v>
      </x:c>
      <x:c r="G13" s="96" t="str">
        <x:v>https://www.skoda.com.tr/modeller/elroq</x:v>
      </x:c>
      <x:c r="H13" s="96" t="n">
        <x:v>1</x:v>
      </x:c>
      <x:c r="I13" s="96" t="str">
        <x:v>FOUND</x:v>
      </x:c>
      <x:c r="J13" s="96" t="str">
        <x:v>FOUND</x:v>
      </x:c>
      <x:c r="K13" s="96" t="str">
        <x:v>FOUND</x:v>
      </x:c>
      <x:c r="L13" s="96" t="str">
        <x:v>NOT_FOUND</x:v>
      </x:c>
      <x:c r="M13" s="96" t="str">
        <x:v>NOT_APPLICABLE</x:v>
      </x:c>
      <x:c r="N13" s="96" t="str">
        <x:v>FOUND</x:v>
      </x:c>
      <x:c r="O13" s="97" t="str">
        <x:v>FOUND</x:v>
      </x:c>
    </x:row>
    <x:row r="14" ht="15" hidden="0" customHeight="1">
      <x:c r="A14" s="95" t="str">
        <x:v>Superb Combi</x:v>
      </x:c>
      <x:c r="B14" s="96" t="str">
        <x:v>Škoda</x:v>
      </x:c>
      <x:c r="C14" s="96" t="str">
        <x:v>LARGE_WAGON</x:v>
      </x:c>
      <x:c r="D14" s="96" t="str">
        <x:v>MHEV</x:v>
      </x:c>
      <x:c r="E14" s="96" t="str">
        <x:v>MAINSTREAM</x:v>
      </x:c>
      <x:c r="F14" s="96" t="str">
        <x:v>Large practical-family wagon alternative.</x:v>
      </x:c>
      <x:c r="G14" s="96" t="str">
        <x:v>https://www.skoda.com.tr/arac-karsilastirma</x:v>
      </x:c>
      <x:c r="H14" s="96" t="n">
        <x:v>1</x:v>
      </x:c>
      <x:c r="I14" s="96" t="str">
        <x:v>FOUND</x:v>
      </x:c>
      <x:c r="J14" s="96" t="str">
        <x:v>FOUND</x:v>
      </x:c>
      <x:c r="K14" s="96" t="str">
        <x:v>NOT_FOUND</x:v>
      </x:c>
      <x:c r="L14" s="96" t="str">
        <x:v>NOT_FOUND</x:v>
      </x:c>
      <x:c r="M14" s="96" t="str">
        <x:v>NOT_APPLICABLE</x:v>
      </x:c>
      <x:c r="N14" s="96" t="str">
        <x:v>NOT_FOUND</x:v>
      </x:c>
      <x:c r="O14" s="97" t="str">
        <x:v>FOUND</x:v>
      </x:c>
    </x:row>
    <x:row r="15" ht="26.399999618530273" hidden="0" customHeight="1">
      <x:c r="A15" s="95" t="str">
        <x:v>Forester e-BOXER</x:v>
      </x:c>
      <x:c r="B15" s="96" t="str">
        <x:v>Subaru</x:v>
      </x:c>
      <x:c r="C15" s="96" t="str">
        <x:v>ROUGH_ROAD</x:v>
      </x:c>
      <x:c r="D15" s="96" t="str">
        <x:v>HEV</x:v>
      </x:c>
      <x:c r="E15" s="96" t="str">
        <x:v>DISCOVERY</x:v>
      </x:c>
      <x:c r="F15" s="96" t="str">
        <x:v>Family-size AWD rough-road discovery candidate.</x:v>
      </x:c>
      <x:c r="G15" s="96" t="str">
        <x:v>https://subaru.com.tr/</x:v>
      </x:c>
      <x:c r="H15" s="96" t="n">
        <x:v>1</x:v>
      </x:c>
      <x:c r="I15" s="96" t="str">
        <x:v>PROVISIONAL</x:v>
      </x:c>
      <x:c r="J15" s="96" t="str">
        <x:v>NOT_FOUND</x:v>
      </x:c>
      <x:c r="K15" s="96" t="str">
        <x:v>NOT_FOUND</x:v>
      </x:c>
      <x:c r="L15" s="96" t="str">
        <x:v>NOT_FOUND</x:v>
      </x:c>
      <x:c r="M15" s="96" t="str">
        <x:v>NOT_FOUND</x:v>
      </x:c>
      <x:c r="N15" s="96" t="str">
        <x:v>NOT_FOUND</x:v>
      </x:c>
      <x:c r="O15" s="97" t="str">
        <x:v>FOUND</x:v>
      </x:c>
    </x:row>
    <x:row r="16" ht="26.399999618530273" hidden="0" customHeight="1">
      <x:c r="A16" s="98" t="str">
        <x:v>Scala</x:v>
      </x:c>
      <x:c r="B16" s="99" t="str">
        <x:v>Škoda</x:v>
      </x:c>
      <x:c r="C16" s="99" t="str">
        <x:v>C_HATCH</x:v>
      </x:c>
      <x:c r="D16" s="99" t="str">
        <x:v>PETROL</x:v>
      </x:c>
      <x:c r="E16" s="99" t="str">
        <x:v>MAINSTREAM</x:v>
      </x:c>
      <x:c r="F16" s="99" t="str">
        <x:v>Practical C-hatch bridge between city car and family wagon.</x:v>
      </x:c>
      <x:c r="G16" s="99" t="str">
        <x:v>https://www.skoda.com.tr/modeller/scala</x:v>
      </x:c>
      <x:c r="H16" s="99" t="n">
        <x:v>1</x:v>
      </x:c>
      <x:c r="I16" s="99" t="str">
        <x:v>PROVISIONAL</x:v>
      </x:c>
      <x:c r="J16" s="99" t="str">
        <x:v>NOT_FOUND</x:v>
      </x:c>
      <x:c r="K16" s="99" t="str">
        <x:v>NOT_FOUND</x:v>
      </x:c>
      <x:c r="L16" s="99" t="str">
        <x:v>NOT_FOUND</x:v>
      </x:c>
      <x:c r="M16" s="99" t="str">
        <x:v>NOT_APPLICABLE</x:v>
      </x:c>
      <x:c r="N16" s="99" t="str">
        <x:v>NOT_FOUND</x:v>
      </x:c>
      <x:c r="O16" s="100" t="str">
        <x:v>FOUND</x:v>
      </x:c>
    </x:row>
  </x:sheetData>
  <x:pageMargins left="0.7" right="0.7" top="0.75" bottom="0.75" header="0.3" footer="0.3"/>
</x:worksheet>
</file>