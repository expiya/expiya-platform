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a57bb4cbb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_LISTS" sheetId="1" r:id="Rbe40bba424dd41e2"/>
    <x:sheet xmlns:r="http://schemas.openxmlformats.org/officeDocument/2006/relationships" name="00_README" sheetId="2" r:id="Rc73ff5d1deed415b"/>
    <x:sheet xmlns:r="http://schemas.openxmlformats.org/officeDocument/2006/relationships" name="01_VEHICLE_MODELS" sheetId="3" r:id="R4e1510ba8d85411f"/>
    <x:sheet xmlns:r="http://schemas.openxmlformats.org/officeDocument/2006/relationships" name="02_GENERATIONS" sheetId="4" r:id="R78bd68e6eaec4b03"/>
    <x:sheet xmlns:r="http://schemas.openxmlformats.org/officeDocument/2006/relationships" name="03_POWERTRAINS" sheetId="5" r:id="R3b94d5505e0b4031"/>
    <x:sheet xmlns:r="http://schemas.openxmlformats.org/officeDocument/2006/relationships" name="04_CONFIGURATIONS" sheetId="6" r:id="R6ff4c3c1b8d94e78"/>
    <x:sheet xmlns:r="http://schemas.openxmlformats.org/officeDocument/2006/relationships" name="05_EVIDENCE_FACTS" sheetId="7" r:id="R7e431831e1cd4d85"/>
    <x:sheet xmlns:r="http://schemas.openxmlformats.org/officeDocument/2006/relationships" name="06_EQUIPMENT" sheetId="8" r:id="Ra4701bebfed64d43"/>
    <x:sheet xmlns:r="http://schemas.openxmlformats.org/officeDocument/2006/relationships" name="07_SAFETY" sheetId="9" r:id="R1275b40b94104151"/>
    <x:sheet xmlns:r="http://schemas.openxmlformats.org/officeDocument/2006/relationships" name="08_SOURCES" sheetId="10" r:id="R6bfed031ce5a4d02"/>
    <x:sheet xmlns:r="http://schemas.openxmlformats.org/officeDocument/2006/relationships" name="09_ASSERTIONS" sheetId="11" r:id="R2dea82e09f7e4fae"/>
    <x:sheet xmlns:r="http://schemas.openxmlformats.org/officeDocument/2006/relationships" name="10_COLLECTION_QUEUE" sheetId="12" r:id="R5b70f2026cae4940"/>
    <x:sheet xmlns:r="http://schemas.openxmlformats.org/officeDocument/2006/relationships" name="11_DATA_DICTIONARY" sheetId="13" r:id="R9ea01d4dd6a14ce0"/>
    <x:sheet xmlns:r="http://schemas.openxmlformats.org/officeDocument/2006/relationships" name="13_PILOT_COVERAGE" sheetId="14" r:id="R5b4be3fceb58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/>
    </x:xf>
    <x:xf numFmtId="0" fontId="5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</x:cellXfs>
  <x:cellStyles count="1">
    <x:cellStyle name="Normal" xfId="0"/>
  </x:cellStyles>
  <x:dxfs count="13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F4B084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8d07ab0714c7e" /><Relationship Type="http://schemas.openxmlformats.org/officeDocument/2006/relationships/theme" Target="/xl/theme/theme1.xml" Id="Rbf432b5ba7994747" /><Relationship Type="http://schemas.openxmlformats.org/officeDocument/2006/relationships/sharedStrings" Target="/xl/sharedStrings.xml" Id="Rbdbd4b65aabc45ff" /><Relationship Type="http://schemas.openxmlformats.org/officeDocument/2006/relationships/worksheet" Target="/xl/worksheets/sheet1.xml" Id="Rbe40bba424dd41e2" /><Relationship Type="http://schemas.openxmlformats.org/officeDocument/2006/relationships/worksheet" Target="/xl/worksheets/sheet2.xml" Id="Rc73ff5d1deed415b" /><Relationship Type="http://schemas.openxmlformats.org/officeDocument/2006/relationships/worksheet" Target="/xl/worksheets/sheet3.xml" Id="R4e1510ba8d85411f" /><Relationship Type="http://schemas.openxmlformats.org/officeDocument/2006/relationships/worksheet" Target="/xl/worksheets/sheet4.xml" Id="R78bd68e6eaec4b03" /><Relationship Type="http://schemas.openxmlformats.org/officeDocument/2006/relationships/worksheet" Target="/xl/worksheets/sheet5.xml" Id="R3b94d5505e0b4031" /><Relationship Type="http://schemas.openxmlformats.org/officeDocument/2006/relationships/worksheet" Target="/xl/worksheets/sheet6.xml" Id="R6ff4c3c1b8d94e78" /><Relationship Type="http://schemas.openxmlformats.org/officeDocument/2006/relationships/worksheet" Target="/xl/worksheets/sheet7.xml" Id="R7e431831e1cd4d85" /><Relationship Type="http://schemas.openxmlformats.org/officeDocument/2006/relationships/worksheet" Target="/xl/worksheets/sheet8.xml" Id="Ra4701bebfed64d43" /><Relationship Type="http://schemas.openxmlformats.org/officeDocument/2006/relationships/worksheet" Target="/xl/worksheets/sheet9.xml" Id="R1275b40b94104151" /><Relationship Type="http://schemas.openxmlformats.org/officeDocument/2006/relationships/worksheet" Target="/xl/worksheets/sheet10.xml" Id="R6bfed031ce5a4d02" /><Relationship Type="http://schemas.openxmlformats.org/officeDocument/2006/relationships/worksheet" Target="/xl/worksheets/sheet11.xml" Id="R2dea82e09f7e4fae" /><Relationship Type="http://schemas.openxmlformats.org/officeDocument/2006/relationships/worksheet" Target="/xl/worksheets/sheet12.xml" Id="R5b70f2026cae4940" /><Relationship Type="http://schemas.openxmlformats.org/officeDocument/2006/relationships/worksheet" Target="/xl/worksheets/sheet13.xml" Id="R9ea01d4dd6a14ce0" /><Relationship Type="http://schemas.openxmlformats.org/officeDocument/2006/relationships/worksheet" Target="/xl/worksheets/sheet14.xml" Id="R5b4be3fceb584790" /></Relationships>
</file>

<file path=xl/tables/table1.xml><?xml version="1.0" encoding="utf-8"?>
<x:table xmlns:x="http://schemas.openxmlformats.org/spreadsheetml/2006/main" id="12" name="ListsTable" displayName="ListsTable" ref="A1:B182" headerRowCount="1" totalsRowCount="0" totalsRowShown="0">
  <x:tableColumns count="2">
    <x:tableColumn id="1" name="LIST_NAME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odelsTable" displayName="ModelsTable" ref="A1:H9" headerRowCount="1" totalsRowCount="0" totalsRowShown="0">
  <x:tableColumns count="8">
    <x:tableColumn id="1" name="model_id"/>
    <x:tableColumn id="2" name="brand"/>
    <x:tableColumn id="3" name="model_name"/>
    <x:tableColumn id="4" name="body_family"/>
    <x:tableColumn id="5" name="market_relevance_tr"/>
    <x:tableColumn id="6" name="source_catalog_status"/>
    <x:tableColumn id="7" name="legacy_source_id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GenerationsTable" displayName="GenerationsTable" ref="A1:L9" headerRowCount="1" totalsRowCount="0" totalsRowShown="0">
  <x:tableColumns count="12">
    <x:tableColumn id="1" name="generation_id"/>
    <x:tableColumn id="2" name="model_id"/>
    <x:tableColumn id="3" name="generation_name"/>
    <x:tableColumn id="4" name="generation_code"/>
    <x:tableColumn id="5" name="facelift_status"/>
    <x:tableColumn id="6" name="production_start_year"/>
    <x:tableColumn id="7" name="production_end_year"/>
    <x:tableColumn id="8" name="market_start_year_tr"/>
    <x:tableColumn id="9" name="market_end_year_tr"/>
    <x:tableColumn id="10" name="identity_status"/>
    <x:tableColumn id="11" name="legacy_source_id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PowertrainsTable" displayName="PowertrainsTable" ref="A1:P9" headerRowCount="1" totalsRowCount="0" totalsRowShown="0">
  <x:tableColumns count="16">
    <x:tableColumn id="1" name="powertrain_id"/>
    <x:tableColumn id="2" name="generation_id"/>
    <x:tableColumn id="3" name="marketing_name"/>
    <x:tableColumn id="4" name="fuel_type"/>
    <x:tableColumn id="5" name="electrification_type"/>
    <x:tableColumn id="6" name="engine_displacement_cc"/>
    <x:tableColumn id="7" name="power_kw"/>
    <x:tableColumn id="8" name="power_ps"/>
    <x:tableColumn id="9" name="torque_nm"/>
    <x:tableColumn id="10" name="transmission_type"/>
    <x:tableColumn id="11" name="transmission_gears"/>
    <x:tableColumn id="12" name="drivetrain"/>
    <x:tableColumn id="13" name="battery_usable_kwh"/>
    <x:tableColumn id="14" name="identity_status"/>
    <x:tableColumn id="15" name="legacy_motor_text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ConfigurationsTable" displayName="ConfigurationsTable" ref="A1:N9" headerRowCount="1" totalsRowCount="0" totalsRowShown="0">
  <x:tableColumns count="14">
    <x:tableColumn id="1" name="configuration_id"/>
    <x:tableColumn id="2" name="generation_id"/>
    <x:tableColumn id="3" name="powertrain_id"/>
    <x:tableColumn id="4" name="market"/>
    <x:tableColumn id="5" name="model_year"/>
    <x:tableColumn id="6" name="trim_name"/>
    <x:tableColumn id="7" name="official_configuration_name"/>
    <x:tableColumn id="8" name="availability_status"/>
    <x:tableColumn id="9" name="availability_from"/>
    <x:tableColumn id="10" name="availability_to"/>
    <x:tableColumn id="11" name="configuration_status"/>
    <x:tableColumn id="12" name="legacy_trim_text"/>
    <x:tableColumn id="13" name="legacy_source_id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FactsTable" displayName="FactsTable" ref="A1:U85" headerRowCount="1" totalsRowCount="0" totalsRowShown="0">
  <x:tableColumns count="21">
    <x:tableColumn id="1" name="fact_id"/>
    <x:tableColumn id="2" name="subject_type"/>
    <x:tableColumn id="3" name="subject_id"/>
    <x:tableColumn id="4" name="fact_key"/>
    <x:tableColumn id="5" name="value_type"/>
    <x:tableColumn id="6" name="value"/>
    <x:tableColumn id="7" name="unit"/>
    <x:tableColumn id="8" name="evidence_state"/>
    <x:tableColumn id="9" name="measurement_context"/>
    <x:tableColumn id="10" name="valid_from_model_year"/>
    <x:tableColumn id="11" name="valid_to_model_year"/>
    <x:tableColumn id="12" name="market"/>
    <x:tableColumn id="13" name="notes"/>
    <x:tableColumn id="14" name="value_min"/>
    <x:tableColumn id="15" name="value_max"/>
    <x:tableColumn id="16" name="range_semantics"/>
    <x:tableColumn id="17" name="source_value_semantics"/>
    <x:tableColumn id="18" name="source_value_raw"/>
    <x:tableColumn id="19" name="soc_start_pct"/>
    <x:tableColumn id="20" name="soc_end_pct"/>
    <x:tableColumn id="21" name="charge_power_context_k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EquipmentTable" displayName="EquipmentTable" ref="A1:F94" headerRowCount="1" totalsRowCount="0" totalsRowShown="0">
  <x:tableColumns count="6">
    <x:tableColumn id="1" name="equipment_id"/>
    <x:tableColumn id="2" name="configuration_id"/>
    <x:tableColumn id="3" name="equipment_key"/>
    <x:tableColumn id="4" name="availability"/>
    <x:tableColumn id="5" name="evidence_state"/>
    <x:tableColumn id="6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SafetyTable" displayName="SafetyTable" ref="A1:K2" headerRowCount="1" totalsRowCount="0" totalsRowShown="0">
  <x:tableColumns count="11">
    <x:tableColumn id="1" name="safety_id"/>
    <x:tableColumn id="2" name="generation_id"/>
    <x:tableColumn id="3" name="assessment_body"/>
    <x:tableColumn id="4" name="assessment_year"/>
    <x:tableColumn id="5" name="overall_rating"/>
    <x:tableColumn id="6" name="adult_occupant_score"/>
    <x:tableColumn id="7" name="child_occupant_score"/>
    <x:tableColumn id="8" name="vulnerable_road_user_score"/>
    <x:tableColumn id="9" name="safety_assist_score"/>
    <x:tableColumn id="10" name="applicability_status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SourcesTable" displayName="SourcesTable" ref="A1:P24" headerRowCount="1" totalsRowCount="0" totalsRowShown="0">
  <x:tableColumns count="16">
    <x:tableColumn id="1" name="source_id"/>
    <x:tableColumn id="2" name="publisher"/>
    <x:tableColumn id="3" name="source_title"/>
    <x:tableColumn id="4" name="source_type"/>
    <x:tableColumn id="5" name="source_url"/>
    <x:tableColumn id="6" name="market"/>
    <x:tableColumn id="7" name="publication_date"/>
    <x:tableColumn id="8" name="retrieved_at"/>
    <x:tableColumn id="9" name="authority_class"/>
    <x:tableColumn id="10" name="source_status"/>
    <x:tableColumn id="11" name="notes"/>
    <x:tableColumn id="12" name="source_url_canonical"/>
    <x:tableColumn id="13" name="source_version_label"/>
    <x:tableColumn id="14" name="source_observed_at"/>
    <x:tableColumn id="15" name="source_content_hash"/>
    <x:tableColumn id="16" name="source_snapshot_re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AssertionsTable" displayName="AssertionsTable" ref="A1:K178" headerRowCount="1" totalsRowCount="0" totalsRowShown="0">
  <x:tableColumns count="11">
    <x:tableColumn id="1" name="assertion_id"/>
    <x:tableColumn id="2" name="evidence_type"/>
    <x:tableColumn id="3" name="evidence_id"/>
    <x:tableColumn id="4" name="source_id"/>
    <x:tableColumn id="5" name="source_location"/>
    <x:tableColumn id="6" name="extraction_method"/>
    <x:tableColumn id="7" name="verification_status"/>
    <x:tableColumn id="8" name="applicability_status"/>
    <x:tableColumn id="9" name="verified_at"/>
    <x:tableColumn id="10" name="verified_by"/>
    <x:tableColumn id="11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QueueTable" displayName="QueueTable" ref="A1:K49" headerRowCount="1" totalsRowCount="0" totalsRowShown="0">
  <x:tableColumns count="11">
    <x:tableColumn id="1" name="queue_id"/>
    <x:tableColumn id="2" name="subject_id"/>
    <x:tableColumn id="3" name="fact_key"/>
    <x:tableColumn id="4" name="priority"/>
    <x:tableColumn id="5" name="collection_status"/>
    <x:tableColumn id="6" name="preferred_source_type"/>
    <x:tableColumn id="7" name="assigned_method"/>
    <x:tableColumn id="8" name="attempt_count"/>
    <x:tableColumn id="9" name="last_attempt_at"/>
    <x:tableColumn id="10" name="result"/>
    <x:tableColumn id="11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DictionaryTable" displayName="DictionaryTable" ref="A1:J165" headerRowCount="1" totalsRowCount="0" totalsRowShown="0">
  <x:tableColumns count="10">
    <x:tableColumn id="1" name="sheet"/>
    <x:tableColumn id="2" name="field_key"/>
    <x:tableColumn id="3" name="description"/>
    <x:tableColumn id="4" name="data_type"/>
    <x:tableColumn id="5" name="requirement"/>
    <x:tableColumn id="6" name="canonical_unit"/>
    <x:tableColumn id="7" name="scope"/>
    <x:tableColumn id="8" name="allowed_values_or_rule"/>
    <x:tableColumn id="9" name="example"/>
    <x:tableColumn id="10" name="migration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176a727f4241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01726429a842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fcd9d063ba43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086b65d1eb48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f323b5ba1c4d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1f0611f29a4a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b480b26d3248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8670566ebf4d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904d56faef542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af18480a97d4a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22b9755b9304a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5ecc2ec026a4f5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</x:cols>
  <x:sheetData>
    <x:row r="1">
      <x:c r="A1" s="6" t="str">
        <x:v>LIST_NAME</x:v>
      </x:c>
      <x:c r="B1" s="6" t="str">
        <x:v>VALUE</x:v>
      </x:c>
    </x:row>
    <x:row r="2">
      <x:c r="A2" t="str">
        <x:v>BODY_FAMILY</x:v>
      </x:c>
      <x:c r="B2" t="str">
        <x:v>HATCHBACK</x:v>
      </x:c>
    </x:row>
    <x:row r="3">
      <x:c r="A3" t="str">
        <x:v>BODY_FAMILY</x:v>
      </x:c>
      <x:c r="B3" t="str">
        <x:v>SEDAN</x:v>
      </x:c>
    </x:row>
    <x:row r="4">
      <x:c r="A4" t="str">
        <x:v>BODY_FAMILY</x:v>
      </x:c>
      <x:c r="B4" t="str">
        <x:v>WAGON</x:v>
      </x:c>
    </x:row>
    <x:row r="5">
      <x:c r="A5" t="str">
        <x:v>BODY_FAMILY</x:v>
      </x:c>
      <x:c r="B5" t="str">
        <x:v>SUV</x:v>
      </x:c>
    </x:row>
    <x:row r="6">
      <x:c r="A6" t="str">
        <x:v>BODY_FAMILY</x:v>
      </x:c>
      <x:c r="B6" t="str">
        <x:v>COUPE</x:v>
      </x:c>
    </x:row>
    <x:row r="7">
      <x:c r="A7" t="str">
        <x:v>BODY_FAMILY</x:v>
      </x:c>
      <x:c r="B7" t="str">
        <x:v>CONVERTIBLE</x:v>
      </x:c>
    </x:row>
    <x:row r="8">
      <x:c r="A8" t="str">
        <x:v>BODY_FAMILY</x:v>
      </x:c>
      <x:c r="B8" t="str">
        <x:v>MPV</x:v>
      </x:c>
    </x:row>
    <x:row r="9">
      <x:c r="A9" t="str">
        <x:v>BODY_FAMILY</x:v>
      </x:c>
      <x:c r="B9" t="str">
        <x:v>PICKUP</x:v>
      </x:c>
    </x:row>
    <x:row r="10">
      <x:c r="A10" t="str">
        <x:v>BODY_FAMILY</x:v>
      </x:c>
      <x:c r="B10" t="str">
        <x:v>VAN</x:v>
      </x:c>
    </x:row>
    <x:row r="11">
      <x:c r="A11" t="str">
        <x:v>BODY_FAMILY</x:v>
      </x:c>
      <x:c r="B11" t="str">
        <x:v>OTHER</x:v>
      </x:c>
    </x:row>
    <x:row r="12">
      <x:c r="A12" t="str">
        <x:v>BODY_FAMILY</x:v>
      </x:c>
      <x:c r="B12" t="str">
        <x:v>UNKNOWN</x:v>
      </x:c>
    </x:row>
    <x:row r="13">
      <x:c r="A13" t="str">
        <x:v>MARKET_RELEVANCE_TR</x:v>
      </x:c>
      <x:c r="B13" t="str">
        <x:v>CURRENT</x:v>
      </x:c>
    </x:row>
    <x:row r="14">
      <x:c r="A14" t="str">
        <x:v>MARKET_RELEVANCE_TR</x:v>
      </x:c>
      <x:c r="B14" t="str">
        <x:v>RECENT</x:v>
      </x:c>
    </x:row>
    <x:row r="15">
      <x:c r="A15" t="str">
        <x:v>MARKET_RELEVANCE_TR</x:v>
      </x:c>
      <x:c r="B15" t="str">
        <x:v>HISTORICAL</x:v>
      </x:c>
    </x:row>
    <x:row r="16">
      <x:c r="A16" t="str">
        <x:v>MARKET_RELEVANCE_TR</x:v>
      </x:c>
      <x:c r="B16" t="str">
        <x:v>CANDIDATE</x:v>
      </x:c>
    </x:row>
    <x:row r="17">
      <x:c r="A17" t="str">
        <x:v>MARKET_RELEVANCE_TR</x:v>
      </x:c>
      <x:c r="B17" t="str">
        <x:v>NOT_RELEVANT</x:v>
      </x:c>
    </x:row>
    <x:row r="18">
      <x:c r="A18" t="str">
        <x:v>MARKET_RELEVANCE_TR</x:v>
      </x:c>
      <x:c r="B18" t="str">
        <x:v>UNKNOWN</x:v>
      </x:c>
    </x:row>
    <x:row r="19">
      <x:c r="A19" t="str">
        <x:v>SOURCE_CATALOG_STATUS</x:v>
      </x:c>
      <x:c r="B19" t="str">
        <x:v>RESMI_KAYNAKTAN_DERLENDI</x:v>
      </x:c>
    </x:row>
    <x:row r="20">
      <x:c r="A20" t="str">
        <x:v>SOURCE_CATALOG_STATUS</x:v>
      </x:c>
      <x:c r="B20" t="str">
        <x:v>ACIK_VERI_KATALOG_ADAYI</x:v>
      </x:c>
    </x:row>
    <x:row r="21">
      <x:c r="A21" t="str">
        <x:v>SOURCE_CATALOG_STATUS</x:v>
      </x:c>
      <x:c r="B21" t="str">
        <x:v>OTHER</x:v>
      </x:c>
    </x:row>
    <x:row r="22">
      <x:c r="A22" t="str">
        <x:v>SOURCE_CATALOG_STATUS</x:v>
      </x:c>
      <x:c r="B22" t="str">
        <x:v>UNKNOWN</x:v>
      </x:c>
    </x:row>
    <x:row r="23">
      <x:c r="A23" t="str">
        <x:v>IDENTITY_STATUS</x:v>
      </x:c>
      <x:c r="B23" t="str">
        <x:v>VERIFIED</x:v>
      </x:c>
    </x:row>
    <x:row r="24">
      <x:c r="A24" t="str">
        <x:v>IDENTITY_STATUS</x:v>
      </x:c>
      <x:c r="B24" t="str">
        <x:v>PROVISIONAL</x:v>
      </x:c>
    </x:row>
    <x:row r="25">
      <x:c r="A25" t="str">
        <x:v>IDENTITY_STATUS</x:v>
      </x:c>
      <x:c r="B25" t="str">
        <x:v>UNRESOLVED</x:v>
      </x:c>
    </x:row>
    <x:row r="26">
      <x:c r="A26" t="str">
        <x:v>FACELIFT_STATUS</x:v>
      </x:c>
      <x:c r="B26" t="str">
        <x:v>PRE_FACELIFT</x:v>
      </x:c>
    </x:row>
    <x:row r="27">
      <x:c r="A27" t="str">
        <x:v>FACELIFT_STATUS</x:v>
      </x:c>
      <x:c r="B27" t="str">
        <x:v>FACELIFT</x:v>
      </x:c>
    </x:row>
    <x:row r="28">
      <x:c r="A28" t="str">
        <x:v>FACELIFT_STATUS</x:v>
      </x:c>
      <x:c r="B28" t="str">
        <x:v>POST_FACELIFT</x:v>
      </x:c>
    </x:row>
    <x:row r="29">
      <x:c r="A29" t="str">
        <x:v>FACELIFT_STATUS</x:v>
      </x:c>
      <x:c r="B29" t="str">
        <x:v>NOT_APPLICABLE</x:v>
      </x:c>
    </x:row>
    <x:row r="30">
      <x:c r="A30" t="str">
        <x:v>FACELIFT_STATUS</x:v>
      </x:c>
      <x:c r="B30" t="str">
        <x:v>UNKNOWN</x:v>
      </x:c>
    </x:row>
    <x:row r="31">
      <x:c r="A31" t="str">
        <x:v>FUEL_TYPE</x:v>
      </x:c>
      <x:c r="B31" t="str">
        <x:v>PETROL</x:v>
      </x:c>
    </x:row>
    <x:row r="32">
      <x:c r="A32" t="str">
        <x:v>FUEL_TYPE</x:v>
      </x:c>
      <x:c r="B32" t="str">
        <x:v>DIESEL</x:v>
      </x:c>
    </x:row>
    <x:row r="33">
      <x:c r="A33" t="str">
        <x:v>FUEL_TYPE</x:v>
      </x:c>
      <x:c r="B33" t="str">
        <x:v>LPG</x:v>
      </x:c>
    </x:row>
    <x:row r="34">
      <x:c r="A34" t="str">
        <x:v>FUEL_TYPE</x:v>
      </x:c>
      <x:c r="B34" t="str">
        <x:v>ELECTRIC</x:v>
      </x:c>
    </x:row>
    <x:row r="35">
      <x:c r="A35" t="str">
        <x:v>FUEL_TYPE</x:v>
      </x:c>
      <x:c r="B35" t="str">
        <x:v>HYDROGEN</x:v>
      </x:c>
    </x:row>
    <x:row r="36">
      <x:c r="A36" t="str">
        <x:v>FUEL_TYPE</x:v>
      </x:c>
      <x:c r="B36" t="str">
        <x:v>OTHER</x:v>
      </x:c>
    </x:row>
    <x:row r="37">
      <x:c r="A37" t="str">
        <x:v>FUEL_TYPE</x:v>
      </x:c>
      <x:c r="B37" t="str">
        <x:v>UNKNOWN</x:v>
      </x:c>
    </x:row>
    <x:row r="38">
      <x:c r="A38" t="str">
        <x:v>ELECTRIFICATION_TYPE</x:v>
      </x:c>
      <x:c r="B38" t="str">
        <x:v>NONE</x:v>
      </x:c>
    </x:row>
    <x:row r="39">
      <x:c r="A39" t="str">
        <x:v>ELECTRIFICATION_TYPE</x:v>
      </x:c>
      <x:c r="B39" t="str">
        <x:v>MHEV</x:v>
      </x:c>
    </x:row>
    <x:row r="40">
      <x:c r="A40" t="str">
        <x:v>ELECTRIFICATION_TYPE</x:v>
      </x:c>
      <x:c r="B40" t="str">
        <x:v>HEV</x:v>
      </x:c>
    </x:row>
    <x:row r="41">
      <x:c r="A41" t="str">
        <x:v>ELECTRIFICATION_TYPE</x:v>
      </x:c>
      <x:c r="B41" t="str">
        <x:v>PHEV</x:v>
      </x:c>
    </x:row>
    <x:row r="42">
      <x:c r="A42" t="str">
        <x:v>ELECTRIFICATION_TYPE</x:v>
      </x:c>
      <x:c r="B42" t="str">
        <x:v>BEV</x:v>
      </x:c>
    </x:row>
    <x:row r="43">
      <x:c r="A43" t="str">
        <x:v>ELECTRIFICATION_TYPE</x:v>
      </x:c>
      <x:c r="B43" t="str">
        <x:v>FCEV</x:v>
      </x:c>
    </x:row>
    <x:row r="44">
      <x:c r="A44" t="str">
        <x:v>ELECTRIFICATION_TYPE</x:v>
      </x:c>
      <x:c r="B44" t="str">
        <x:v>OTHER</x:v>
      </x:c>
    </x:row>
    <x:row r="45">
      <x:c r="A45" t="str">
        <x:v>ELECTRIFICATION_TYPE</x:v>
      </x:c>
      <x:c r="B45" t="str">
        <x:v>UNKNOWN</x:v>
      </x:c>
    </x:row>
    <x:row r="46">
      <x:c r="A46" t="str">
        <x:v>TRANSMISSION_TYPE</x:v>
      </x:c>
      <x:c r="B46" t="str">
        <x:v>MANUAL</x:v>
      </x:c>
    </x:row>
    <x:row r="47">
      <x:c r="A47" t="str">
        <x:v>TRANSMISSION_TYPE</x:v>
      </x:c>
      <x:c r="B47" t="str">
        <x:v>AUTOMATIC</x:v>
      </x:c>
    </x:row>
    <x:row r="48">
      <x:c r="A48" t="str">
        <x:v>TRANSMISSION_TYPE</x:v>
      </x:c>
      <x:c r="B48" t="str">
        <x:v>DCT</x:v>
      </x:c>
    </x:row>
    <x:row r="49">
      <x:c r="A49" t="str">
        <x:v>TRANSMISSION_TYPE</x:v>
      </x:c>
      <x:c r="B49" t="str">
        <x:v>CVT</x:v>
      </x:c>
    </x:row>
    <x:row r="50">
      <x:c r="A50" t="str">
        <x:v>TRANSMISSION_TYPE</x:v>
      </x:c>
      <x:c r="B50" t="str">
        <x:v>E_CVT</x:v>
      </x:c>
    </x:row>
    <x:row r="51">
      <x:c r="A51" t="str">
        <x:v>TRANSMISSION_TYPE</x:v>
      </x:c>
      <x:c r="B51" t="str">
        <x:v>SINGLE_SPEED</x:v>
      </x:c>
    </x:row>
    <x:row r="52">
      <x:c r="A52" t="str">
        <x:v>TRANSMISSION_TYPE</x:v>
      </x:c>
      <x:c r="B52" t="str">
        <x:v>OTHER</x:v>
      </x:c>
    </x:row>
    <x:row r="53">
      <x:c r="A53" t="str">
        <x:v>TRANSMISSION_TYPE</x:v>
      </x:c>
      <x:c r="B53" t="str">
        <x:v>UNKNOWN</x:v>
      </x:c>
    </x:row>
    <x:row r="54">
      <x:c r="A54" t="str">
        <x:v>DRIVETRAIN</x:v>
      </x:c>
      <x:c r="B54" t="str">
        <x:v>FWD</x:v>
      </x:c>
    </x:row>
    <x:row r="55">
      <x:c r="A55" t="str">
        <x:v>DRIVETRAIN</x:v>
      </x:c>
      <x:c r="B55" t="str">
        <x:v>RWD</x:v>
      </x:c>
    </x:row>
    <x:row r="56">
      <x:c r="A56" t="str">
        <x:v>DRIVETRAIN</x:v>
      </x:c>
      <x:c r="B56" t="str">
        <x:v>AWD</x:v>
      </x:c>
    </x:row>
    <x:row r="57">
      <x:c r="A57" t="str">
        <x:v>DRIVETRAIN</x:v>
      </x:c>
      <x:c r="B57" t="str">
        <x:v>4WD</x:v>
      </x:c>
    </x:row>
    <x:row r="58">
      <x:c r="A58" t="str">
        <x:v>DRIVETRAIN</x:v>
      </x:c>
      <x:c r="B58" t="str">
        <x:v>UNKNOWN</x:v>
      </x:c>
    </x:row>
    <x:row r="59">
      <x:c r="A59" t="str">
        <x:v>MARKET</x:v>
      </x:c>
      <x:c r="B59" t="str">
        <x:v>TR</x:v>
      </x:c>
    </x:row>
    <x:row r="60">
      <x:c r="A60" t="str">
        <x:v>AVAILABILITY_STATUS</x:v>
      </x:c>
      <x:c r="B60" t="str">
        <x:v>CURRENT</x:v>
      </x:c>
    </x:row>
    <x:row r="61">
      <x:c r="A61" t="str">
        <x:v>AVAILABILITY_STATUS</x:v>
      </x:c>
      <x:c r="B61" t="str">
        <x:v>ORDERABLE</x:v>
      </x:c>
    </x:row>
    <x:row r="62">
      <x:c r="A62" t="str">
        <x:v>AVAILABILITY_STATUS</x:v>
      </x:c>
      <x:c r="B62" t="str">
        <x:v>LIMITED</x:v>
      </x:c>
    </x:row>
    <x:row r="63">
      <x:c r="A63" t="str">
        <x:v>AVAILABILITY_STATUS</x:v>
      </x:c>
      <x:c r="B63" t="str">
        <x:v>DISCONTINUED</x:v>
      </x:c>
    </x:row>
    <x:row r="64">
      <x:c r="A64" t="str">
        <x:v>AVAILABILITY_STATUS</x:v>
      </x:c>
      <x:c r="B64" t="str">
        <x:v>HISTORICAL</x:v>
      </x:c>
    </x:row>
    <x:row r="65">
      <x:c r="A65" t="str">
        <x:v>AVAILABILITY_STATUS</x:v>
      </x:c>
      <x:c r="B65" t="str">
        <x:v>UNKNOWN</x:v>
      </x:c>
    </x:row>
    <x:row r="66">
      <x:c r="A66" t="str">
        <x:v>CONFIGURATION_STATUS</x:v>
      </x:c>
      <x:c r="B66" t="str">
        <x:v>VERIFIED</x:v>
      </x:c>
    </x:row>
    <x:row r="67">
      <x:c r="A67" t="str">
        <x:v>CONFIGURATION_STATUS</x:v>
      </x:c>
      <x:c r="B67" t="str">
        <x:v>PROVISIONAL</x:v>
      </x:c>
    </x:row>
    <x:row r="68">
      <x:c r="A68" t="str">
        <x:v>CONFIGURATION_STATUS</x:v>
      </x:c>
      <x:c r="B68" t="str">
        <x:v>UNRESOLVED</x:v>
      </x:c>
    </x:row>
    <x:row r="69">
      <x:c r="A69" t="str">
        <x:v>SUBJECT_TYPE</x:v>
      </x:c>
      <x:c r="B69" t="str">
        <x:v>MODEL</x:v>
      </x:c>
    </x:row>
    <x:row r="70">
      <x:c r="A70" t="str">
        <x:v>SUBJECT_TYPE</x:v>
      </x:c>
      <x:c r="B70" t="str">
        <x:v>GENERATION</x:v>
      </x:c>
    </x:row>
    <x:row r="71">
      <x:c r="A71" t="str">
        <x:v>SUBJECT_TYPE</x:v>
      </x:c>
      <x:c r="B71" t="str">
        <x:v>POWERTRAIN</x:v>
      </x:c>
    </x:row>
    <x:row r="72">
      <x:c r="A72" t="str">
        <x:v>SUBJECT_TYPE</x:v>
      </x:c>
      <x:c r="B72" t="str">
        <x:v>CONFIGURATION</x:v>
      </x:c>
    </x:row>
    <x:row r="73">
      <x:c r="A73" t="str">
        <x:v>VALUE_TYPE</x:v>
      </x:c>
      <x:c r="B73" t="str">
        <x:v>NUMBER</x:v>
      </x:c>
    </x:row>
    <x:row r="74">
      <x:c r="A74" t="str">
        <x:v>VALUE_TYPE</x:v>
      </x:c>
      <x:c r="B74" t="str">
        <x:v>TEXT</x:v>
      </x:c>
    </x:row>
    <x:row r="75">
      <x:c r="A75" t="str">
        <x:v>VALUE_TYPE</x:v>
      </x:c>
      <x:c r="B75" t="str">
        <x:v>BOOLEAN</x:v>
      </x:c>
    </x:row>
    <x:row r="76">
      <x:c r="A76" t="str">
        <x:v>VALUE_TYPE</x:v>
      </x:c>
      <x:c r="B76" t="str">
        <x:v>ENUM</x:v>
      </x:c>
    </x:row>
    <x:row r="77">
      <x:c r="A77" t="str">
        <x:v>VALUE_TYPE</x:v>
      </x:c>
      <x:c r="B77" t="str">
        <x:v>DATE</x:v>
      </x:c>
    </x:row>
    <x:row r="78">
      <x:c r="A78" t="str">
        <x:v>EVIDENCE_STATE</x:v>
      </x:c>
      <x:c r="B78" t="str">
        <x:v>VERIFIED</x:v>
      </x:c>
    </x:row>
    <x:row r="79">
      <x:c r="A79" t="str">
        <x:v>EVIDENCE_STATE</x:v>
      </x:c>
      <x:c r="B79" t="str">
        <x:v>REPORTED</x:v>
      </x:c>
    </x:row>
    <x:row r="80">
      <x:c r="A80" t="str">
        <x:v>EVIDENCE_STATE</x:v>
      </x:c>
      <x:c r="B80" t="str">
        <x:v>UNKNOWN</x:v>
      </x:c>
    </x:row>
    <x:row r="81">
      <x:c r="A81" t="str">
        <x:v>EVIDENCE_STATE</x:v>
      </x:c>
      <x:c r="B81" t="str">
        <x:v>NOT_AVAILABLE</x:v>
      </x:c>
    </x:row>
    <x:row r="82">
      <x:c r="A82" t="str">
        <x:v>EVIDENCE_STATE</x:v>
      </x:c>
      <x:c r="B82" t="str">
        <x:v>NOT_APPLICABLE</x:v>
      </x:c>
    </x:row>
    <x:row r="83">
      <x:c r="A83" t="str">
        <x:v>EVIDENCE_STATE</x:v>
      </x:c>
      <x:c r="B83" t="str">
        <x:v>CONFLICTING</x:v>
      </x:c>
    </x:row>
    <x:row r="84">
      <x:c r="A84" t="str">
        <x:v>EQUIPMENT_AVAILABILITY</x:v>
      </x:c>
      <x:c r="B84" t="str">
        <x:v>STANDARD</x:v>
      </x:c>
    </x:row>
    <x:row r="85">
      <x:c r="A85" t="str">
        <x:v>EQUIPMENT_AVAILABILITY</x:v>
      </x:c>
      <x:c r="B85" t="str">
        <x:v>OPTIONAL</x:v>
      </x:c>
    </x:row>
    <x:row r="86">
      <x:c r="A86" t="str">
        <x:v>EQUIPMENT_AVAILABILITY</x:v>
      </x:c>
      <x:c r="B86" t="str">
        <x:v>NOT_AVAILABLE</x:v>
      </x:c>
    </x:row>
    <x:row r="87">
      <x:c r="A87" t="str">
        <x:v>EQUIPMENT_AVAILABILITY</x:v>
      </x:c>
      <x:c r="B87" t="str">
        <x:v>UNKNOWN</x:v>
      </x:c>
    </x:row>
    <x:row r="88">
      <x:c r="A88" t="str">
        <x:v>ASSESSMENT_BODY</x:v>
      </x:c>
      <x:c r="B88" t="str">
        <x:v>EURO_NCAP</x:v>
      </x:c>
    </x:row>
    <x:row r="89">
      <x:c r="A89" t="str">
        <x:v>ASSESSMENT_BODY</x:v>
      </x:c>
      <x:c r="B89" t="str">
        <x:v>ANCAP</x:v>
      </x:c>
    </x:row>
    <x:row r="90">
      <x:c r="A90" t="str">
        <x:v>ASSESSMENT_BODY</x:v>
      </x:c>
      <x:c r="B90" t="str">
        <x:v>IIHS</x:v>
      </x:c>
    </x:row>
    <x:row r="91">
      <x:c r="A91" t="str">
        <x:v>ASSESSMENT_BODY</x:v>
      </x:c>
      <x:c r="B91" t="str">
        <x:v>NHTSA</x:v>
      </x:c>
    </x:row>
    <x:row r="92">
      <x:c r="A92" t="str">
        <x:v>ASSESSMENT_BODY</x:v>
      </x:c>
      <x:c r="B92" t="str">
        <x:v>OTHER</x:v>
      </x:c>
    </x:row>
    <x:row r="93">
      <x:c r="A93" t="str">
        <x:v>APPLICABILITY_STATUS</x:v>
      </x:c>
      <x:c r="B93" t="str">
        <x:v>EXACT</x:v>
      </x:c>
    </x:row>
    <x:row r="94">
      <x:c r="A94" t="str">
        <x:v>APPLICABILITY_STATUS</x:v>
      </x:c>
      <x:c r="B94" t="str">
        <x:v>PARTIAL</x:v>
      </x:c>
    </x:row>
    <x:row r="95">
      <x:c r="A95" t="str">
        <x:v>APPLICABILITY_STATUS</x:v>
      </x:c>
      <x:c r="B95" t="str">
        <x:v>UNCERTAIN</x:v>
      </x:c>
    </x:row>
    <x:row r="96">
      <x:c r="A96" t="str">
        <x:v>APPLICABILITY_STATUS</x:v>
      </x:c>
      <x:c r="B96" t="str">
        <x:v>NOT_APPLICABLE</x:v>
      </x:c>
    </x:row>
    <x:row r="97">
      <x:c r="A97" t="str">
        <x:v>APPLICABILITY_STATUS</x:v>
      </x:c>
      <x:c r="B97" t="str">
        <x:v>CONFLICTING</x:v>
      </x:c>
    </x:row>
    <x:row r="98">
      <x:c r="A98" t="str">
        <x:v>SOURCE_TYPE</x:v>
      </x:c>
      <x:c r="B98" t="str">
        <x:v>OFFICIAL_WEB</x:v>
      </x:c>
    </x:row>
    <x:row r="99">
      <x:c r="A99" t="str">
        <x:v>SOURCE_TYPE</x:v>
      </x:c>
      <x:c r="B99" t="str">
        <x:v>OFFICIAL_BROCHURE</x:v>
      </x:c>
    </x:row>
    <x:row r="100">
      <x:c r="A100" t="str">
        <x:v>SOURCE_TYPE</x:v>
      </x:c>
      <x:c r="B100" t="str">
        <x:v>OFFICIAL_TECH_SPEC</x:v>
      </x:c>
    </x:row>
    <x:row r="101">
      <x:c r="A101" t="str">
        <x:v>SOURCE_TYPE</x:v>
      </x:c>
      <x:c r="B101" t="str">
        <x:v>OFFICIAL_PRICE_LIST</x:v>
      </x:c>
    </x:row>
    <x:row r="102">
      <x:c r="A102" t="str">
        <x:v>SOURCE_TYPE</x:v>
      </x:c>
      <x:c r="B102" t="str">
        <x:v>OFFICIAL_MANUAL</x:v>
      </x:c>
    </x:row>
    <x:row r="103">
      <x:c r="A103" t="str">
        <x:v>SOURCE_TYPE</x:v>
      </x:c>
      <x:c r="B103" t="str">
        <x:v>REGULATOR_DATA</x:v>
      </x:c>
    </x:row>
    <x:row r="104">
      <x:c r="A104" t="str">
        <x:v>SOURCE_TYPE</x:v>
      </x:c>
      <x:c r="B104" t="str">
        <x:v>SAFETY_ASSESSMENT</x:v>
      </x:c>
    </x:row>
    <x:row r="105">
      <x:c r="A105" t="str">
        <x:v>SOURCE_TYPE</x:v>
      </x:c>
      <x:c r="B105" t="str">
        <x:v>STRUCTURED_AUTOMOTIVE_DATA</x:v>
      </x:c>
    </x:row>
    <x:row r="106">
      <x:c r="A106" t="str">
        <x:v>SOURCE_TYPE</x:v>
      </x:c>
      <x:c r="B106" t="str">
        <x:v>TRUSTED_SECONDARY</x:v>
      </x:c>
    </x:row>
    <x:row r="107">
      <x:c r="A107" t="str">
        <x:v>SOURCE_TYPE</x:v>
      </x:c>
      <x:c r="B107" t="str">
        <x:v>COMMUNITY</x:v>
      </x:c>
    </x:row>
    <x:row r="108">
      <x:c r="A108" t="str">
        <x:v>SOURCE_TYPE</x:v>
      </x:c>
      <x:c r="B108" t="str">
        <x:v>USER_EXPERIENCE</x:v>
      </x:c>
    </x:row>
    <x:row r="109">
      <x:c r="A109" t="str">
        <x:v>SOURCE_TYPE</x:v>
      </x:c>
      <x:c r="B109" t="str">
        <x:v>OTHER</x:v>
      </x:c>
    </x:row>
    <x:row r="110">
      <x:c r="A110" t="str">
        <x:v>AUTHORITY_CLASS</x:v>
      </x:c>
      <x:c r="B110" t="str">
        <x:v>A1_OFFICIAL_MARKET</x:v>
      </x:c>
    </x:row>
    <x:row r="111">
      <x:c r="A111" t="str">
        <x:v>AUTHORITY_CLASS</x:v>
      </x:c>
      <x:c r="B111" t="str">
        <x:v>A2_OFFICIAL_MANUFACTURER</x:v>
      </x:c>
    </x:row>
    <x:row r="112">
      <x:c r="A112" t="str">
        <x:v>AUTHORITY_CLASS</x:v>
      </x:c>
      <x:c r="B112" t="str">
        <x:v>A3_AUTHORITATIVE_INDEPENDENT</x:v>
      </x:c>
    </x:row>
    <x:row r="113">
      <x:c r="A113" t="str">
        <x:v>AUTHORITY_CLASS</x:v>
      </x:c>
      <x:c r="B113" t="str">
        <x:v>A4_TRUSTED_STRUCTURED</x:v>
      </x:c>
    </x:row>
    <x:row r="114">
      <x:c r="A114" t="str">
        <x:v>AUTHORITY_CLASS</x:v>
      </x:c>
      <x:c r="B114" t="str">
        <x:v>A5_TRUSTED_SECONDARY</x:v>
      </x:c>
    </x:row>
    <x:row r="115">
      <x:c r="A115" t="str">
        <x:v>AUTHORITY_CLASS</x:v>
      </x:c>
      <x:c r="B115" t="str">
        <x:v>A6_EXPIYA_EXPERIENCE</x:v>
      </x:c>
    </x:row>
    <x:row r="116">
      <x:c r="A116" t="str">
        <x:v>AUTHORITY_CLASS</x:v>
      </x:c>
      <x:c r="B116" t="str">
        <x:v>A7_COMMUNITY</x:v>
      </x:c>
    </x:row>
    <x:row r="117">
      <x:c r="A117" t="str">
        <x:v>AUTHORITY_CLASS</x:v>
      </x:c>
      <x:c r="B117" t="str">
        <x:v>UNKNOWN</x:v>
      </x:c>
    </x:row>
    <x:row r="118">
      <x:c r="A118" t="str">
        <x:v>SOURCE_STATUS</x:v>
      </x:c>
      <x:c r="B118" t="str">
        <x:v>ACTIVE</x:v>
      </x:c>
    </x:row>
    <x:row r="119">
      <x:c r="A119" t="str">
        <x:v>SOURCE_STATUS</x:v>
      </x:c>
      <x:c r="B119" t="str">
        <x:v>ARCHIVED</x:v>
      </x:c>
    </x:row>
    <x:row r="120">
      <x:c r="A120" t="str">
        <x:v>SOURCE_STATUS</x:v>
      </x:c>
      <x:c r="B120" t="str">
        <x:v>UNAVAILABLE</x:v>
      </x:c>
    </x:row>
    <x:row r="121">
      <x:c r="A121" t="str">
        <x:v>SOURCE_STATUS</x:v>
      </x:c>
      <x:c r="B121" t="str">
        <x:v>SUPERSEDED</x:v>
      </x:c>
    </x:row>
    <x:row r="122">
      <x:c r="A122" t="str">
        <x:v>SOURCE_STATUS</x:v>
      </x:c>
      <x:c r="B122" t="str">
        <x:v>UNKNOWN</x:v>
      </x:c>
    </x:row>
    <x:row r="123">
      <x:c r="A123" t="str">
        <x:v>EVIDENCE_TYPE</x:v>
      </x:c>
      <x:c r="B123" t="str">
        <x:v>TECHNICAL_FACT</x:v>
      </x:c>
    </x:row>
    <x:row r="124">
      <x:c r="A124" t="str">
        <x:v>EVIDENCE_TYPE</x:v>
      </x:c>
      <x:c r="B124" t="str">
        <x:v>EQUIPMENT_FACT</x:v>
      </x:c>
    </x:row>
    <x:row r="125">
      <x:c r="A125" t="str">
        <x:v>EVIDENCE_TYPE</x:v>
      </x:c>
      <x:c r="B125" t="str">
        <x:v>SAFETY_ASSESSMENT</x:v>
      </x:c>
    </x:row>
    <x:row r="126">
      <x:c r="A126" t="str">
        <x:v>EXTRACTION_METHOD</x:v>
      </x:c>
      <x:c r="B126" t="str">
        <x:v>STRUCTURED_IMPORT</x:v>
      </x:c>
    </x:row>
    <x:row r="127">
      <x:c r="A127" t="str">
        <x:v>EXTRACTION_METHOD</x:v>
      </x:c>
      <x:c r="B127" t="str">
        <x:v>SCRIPT_EXTRACTED</x:v>
      </x:c>
    </x:row>
    <x:row r="128">
      <x:c r="A128" t="str">
        <x:v>EXTRACTION_METHOD</x:v>
      </x:c>
      <x:c r="B128" t="str">
        <x:v>MANUAL</x:v>
      </x:c>
    </x:row>
    <x:row r="129">
      <x:c r="A129" t="str">
        <x:v>EXTRACTION_METHOD</x:v>
      </x:c>
      <x:c r="B129" t="str">
        <x:v>LLM_ASSISTED</x:v>
      </x:c>
    </x:row>
    <x:row r="130">
      <x:c r="A130" t="str">
        <x:v>VERIFICATION_STATUS</x:v>
      </x:c>
      <x:c r="B130" t="str">
        <x:v>VERIFIED</x:v>
      </x:c>
    </x:row>
    <x:row r="131">
      <x:c r="A131" t="str">
        <x:v>VERIFICATION_STATUS</x:v>
      </x:c>
      <x:c r="B131" t="str">
        <x:v>UNVERIFIED</x:v>
      </x:c>
    </x:row>
    <x:row r="132">
      <x:c r="A132" t="str">
        <x:v>VERIFICATION_STATUS</x:v>
      </x:c>
      <x:c r="B132" t="str">
        <x:v>REJECTED</x:v>
      </x:c>
    </x:row>
    <x:row r="133">
      <x:c r="A133" t="str">
        <x:v>VERIFICATION_STATUS</x:v>
      </x:c>
      <x:c r="B133" t="str">
        <x:v>CONFLICTING</x:v>
      </x:c>
    </x:row>
    <x:row r="134">
      <x:c r="A134" t="str">
        <x:v>PRIORITY</x:v>
      </x:c>
      <x:c r="B134" t="str">
        <x:v>P0</x:v>
      </x:c>
    </x:row>
    <x:row r="135">
      <x:c r="A135" t="str">
        <x:v>PRIORITY</x:v>
      </x:c>
      <x:c r="B135" t="str">
        <x:v>P1</x:v>
      </x:c>
    </x:row>
    <x:row r="136">
      <x:c r="A136" t="str">
        <x:v>PRIORITY</x:v>
      </x:c>
      <x:c r="B136" t="str">
        <x:v>P2</x:v>
      </x:c>
    </x:row>
    <x:row r="137">
      <x:c r="A137" t="str">
        <x:v>COLLECTION_STATUS</x:v>
      </x:c>
      <x:c r="B137" t="str">
        <x:v>NOT_STARTED</x:v>
      </x:c>
    </x:row>
    <x:row r="138">
      <x:c r="A138" t="str">
        <x:v>COLLECTION_STATUS</x:v>
      </x:c>
      <x:c r="B138" t="str">
        <x:v>IN_PROGRESS</x:v>
      </x:c>
    </x:row>
    <x:row r="139">
      <x:c r="A139" t="str">
        <x:v>COLLECTION_STATUS</x:v>
      </x:c>
      <x:c r="B139" t="str">
        <x:v>BLOCKED</x:v>
      </x:c>
    </x:row>
    <x:row r="140">
      <x:c r="A140" t="str">
        <x:v>COLLECTION_STATUS</x:v>
      </x:c>
      <x:c r="B140" t="str">
        <x:v>COMPLETE</x:v>
      </x:c>
    </x:row>
    <x:row r="141">
      <x:c r="A141" t="str">
        <x:v>COLLECTION_STATUS</x:v>
      </x:c>
      <x:c r="B141" t="str">
        <x:v>NOT_REQUIRED</x:v>
      </x:c>
    </x:row>
    <x:row r="142">
      <x:c r="A142" t="str">
        <x:v>PREFERRED_SOURCE_TYPE</x:v>
      </x:c>
      <x:c r="B142" t="str">
        <x:v>A1_OFFICIAL_MARKET</x:v>
      </x:c>
    </x:row>
    <x:row r="143">
      <x:c r="A143" t="str">
        <x:v>PREFERRED_SOURCE_TYPE</x:v>
      </x:c>
      <x:c r="B143" t="str">
        <x:v>A2_OFFICIAL_MANUFACTURER</x:v>
      </x:c>
    </x:row>
    <x:row r="144">
      <x:c r="A144" t="str">
        <x:v>PREFERRED_SOURCE_TYPE</x:v>
      </x:c>
      <x:c r="B144" t="str">
        <x:v>A3_AUTHORITATIVE_INDEPENDENT</x:v>
      </x:c>
    </x:row>
    <x:row r="145">
      <x:c r="A145" t="str">
        <x:v>PREFERRED_SOURCE_TYPE</x:v>
      </x:c>
      <x:c r="B145" t="str">
        <x:v>A4_TRUSTED_STRUCTURED</x:v>
      </x:c>
    </x:row>
    <x:row r="146">
      <x:c r="A146" t="str">
        <x:v>PREFERRED_SOURCE_TYPE</x:v>
      </x:c>
      <x:c r="B146" t="str">
        <x:v>A5_TRUSTED_SECONDARY</x:v>
      </x:c>
    </x:row>
    <x:row r="147">
      <x:c r="A147" t="str">
        <x:v>ASSIGNED_METHOD</x:v>
      </x:c>
      <x:c r="B147" t="str">
        <x:v>WEB</x:v>
      </x:c>
    </x:row>
    <x:row r="148">
      <x:c r="A148" t="str">
        <x:v>ASSIGNED_METHOD</x:v>
      </x:c>
      <x:c r="B148" t="str">
        <x:v>SCRIPT</x:v>
      </x:c>
    </x:row>
    <x:row r="149">
      <x:c r="A149" t="str">
        <x:v>ASSIGNED_METHOD</x:v>
      </x:c>
      <x:c r="B149" t="str">
        <x:v>MANUAL</x:v>
      </x:c>
    </x:row>
    <x:row r="150">
      <x:c r="A150" t="str">
        <x:v>ASSIGNED_METHOD</x:v>
      </x:c>
      <x:c r="B150" t="str">
        <x:v>LLM_ASSISTED</x:v>
      </x:c>
    </x:row>
    <x:row r="151">
      <x:c r="A151" t="str">
        <x:v>COLLECTION_RESULT</x:v>
      </x:c>
      <x:c r="B151" t="str">
        <x:v>FOUND</x:v>
      </x:c>
    </x:row>
    <x:row r="152">
      <x:c r="A152" t="str">
        <x:v>COLLECTION_RESULT</x:v>
      </x:c>
      <x:c r="B152" t="str">
        <x:v>NOT_FOUND</x:v>
      </x:c>
    </x:row>
    <x:row r="153">
      <x:c r="A153" t="str">
        <x:v>COLLECTION_RESULT</x:v>
      </x:c>
      <x:c r="B153" t="str">
        <x:v>CONFLICT</x:v>
      </x:c>
    </x:row>
    <x:row r="154">
      <x:c r="A154" t="str">
        <x:v>COLLECTION_RESULT</x:v>
      </x:c>
      <x:c r="B154" t="str">
        <x:v>NOT_APPLICABLE</x:v>
      </x:c>
    </x:row>
    <x:row r="155">
      <x:c r="A155" t="str">
        <x:v>COLLECTION_RESULT</x:v>
      </x:c>
      <x:c r="B155" t="str">
        <x:v>PENDING</x:v>
      </x:c>
    </x:row>
    <x:row r="156">
      <x:c r="A156" t="str">
        <x:v>REQUIREMENT_LEVEL</x:v>
      </x:c>
      <x:c r="B156" t="str">
        <x:v>MUST</x:v>
      </x:c>
    </x:row>
    <x:row r="157">
      <x:c r="A157" t="str">
        <x:v>REQUIREMENT_LEVEL</x:v>
      </x:c>
      <x:c r="B157" t="str">
        <x:v>SHOULD</x:v>
      </x:c>
    </x:row>
    <x:row r="158">
      <x:c r="A158" t="str">
        <x:v>REQUIREMENT_LEVEL</x:v>
      </x:c>
      <x:c r="B158" t="str">
        <x:v>NICE_TO_HAVE</x:v>
      </x:c>
    </x:row>
    <x:row r="159">
      <x:c r="A159" t="str">
        <x:v>FACT_SCOPE</x:v>
      </x:c>
      <x:c r="B159" t="str">
        <x:v>MODEL</x:v>
      </x:c>
    </x:row>
    <x:row r="160">
      <x:c r="A160" t="str">
        <x:v>FACT_SCOPE</x:v>
      </x:c>
      <x:c r="B160" t="str">
        <x:v>GENERATION</x:v>
      </x:c>
    </x:row>
    <x:row r="161">
      <x:c r="A161" t="str">
        <x:v>FACT_SCOPE</x:v>
      </x:c>
      <x:c r="B161" t="str">
        <x:v>POWERTRAIN</x:v>
      </x:c>
    </x:row>
    <x:row r="162">
      <x:c r="A162" t="str">
        <x:v>FACT_SCOPE</x:v>
      </x:c>
      <x:c r="B162" t="str">
        <x:v>CONFIGURATION</x:v>
      </x:c>
    </x:row>
    <x:row r="163">
      <x:c r="A163" t="str">
        <x:v>DATA_TYPE</x:v>
      </x:c>
      <x:c r="B163" t="str">
        <x:v>ID</x:v>
      </x:c>
    </x:row>
    <x:row r="164">
      <x:c r="A164" t="str">
        <x:v>DATA_TYPE</x:v>
      </x:c>
      <x:c r="B164" t="str">
        <x:v>FK</x:v>
      </x:c>
    </x:row>
    <x:row r="165">
      <x:c r="A165" t="str">
        <x:v>DATA_TYPE</x:v>
      </x:c>
      <x:c r="B165" t="str">
        <x:v>TEXT</x:v>
      </x:c>
    </x:row>
    <x:row r="166">
      <x:c r="A166" t="str">
        <x:v>DATA_TYPE</x:v>
      </x:c>
      <x:c r="B166" t="str">
        <x:v>INTEGER</x:v>
      </x:c>
    </x:row>
    <x:row r="167">
      <x:c r="A167" t="str">
        <x:v>DATA_TYPE</x:v>
      </x:c>
      <x:c r="B167" t="str">
        <x:v>NUMBER</x:v>
      </x:c>
    </x:row>
    <x:row r="168">
      <x:c r="A168" t="str">
        <x:v>DATA_TYPE</x:v>
      </x:c>
      <x:c r="B168" t="str">
        <x:v>BOOLEAN</x:v>
      </x:c>
    </x:row>
    <x:row r="169">
      <x:c r="A169" t="str">
        <x:v>DATA_TYPE</x:v>
      </x:c>
      <x:c r="B169" t="str">
        <x:v>ENUM</x:v>
      </x:c>
    </x:row>
    <x:row r="170">
      <x:c r="A170" t="str">
        <x:v>DATA_TYPE</x:v>
      </x:c>
      <x:c r="B170" t="str">
        <x:v>DATE</x:v>
      </x:c>
    </x:row>
    <x:row r="171">
      <x:c r="A171" t="str">
        <x:v>DATA_TYPE</x:v>
      </x:c>
      <x:c r="B171" t="str">
        <x:v>URL</x:v>
      </x:c>
    </x:row>
    <x:row r="172">
      <x:c r="A172" t="str">
        <x:v>RANGE_SEMANTICS</x:v>
      </x:c>
      <x:c r="B172" t="str">
        <x:v>NONE</x:v>
      </x:c>
    </x:row>
    <x:row r="173">
      <x:c r="A173" t="str">
        <x:v>RANGE_SEMANTICS</x:v>
      </x:c>
      <x:c r="B173" t="str">
        <x:v>MIN_MAX</x:v>
      </x:c>
    </x:row>
    <x:row r="174">
      <x:c r="A174" t="str">
        <x:v>RANGE_SEMANTICS</x:v>
      </x:c>
      <x:c r="B174" t="str">
        <x:v>MULTIPLE_OFFICIAL_VALUES</x:v>
      </x:c>
    </x:row>
    <x:row r="175">
      <x:c r="A175" t="str">
        <x:v>SOURCE_VALUE_SEMANTICS</x:v>
      </x:c>
      <x:c r="B175" t="str">
        <x:v>EXACT_SCALAR</x:v>
      </x:c>
    </x:row>
    <x:row r="176">
      <x:c r="A176" t="str">
        <x:v>SOURCE_VALUE_SEMANTICS</x:v>
      </x:c>
      <x:c r="B176" t="str">
        <x:v>EXACT_RANGE</x:v>
      </x:c>
    </x:row>
    <x:row r="177">
      <x:c r="A177" t="str">
        <x:v>SOURCE_VALUE_SEMANTICS</x:v>
      </x:c>
      <x:c r="B177" t="str">
        <x:v>BATTERY_CAPACITY_UNQUALIFIED</x:v>
      </x:c>
    </x:row>
    <x:row r="178">
      <x:c r="A178" t="str">
        <x:v>SOURCE_VALUE_SEMANTICS</x:v>
      </x:c>
      <x:c r="B178" t="str">
        <x:v>CHARGE_TIME_WITH_SOC_CONTEXT</x:v>
      </x:c>
    </x:row>
    <x:row r="179">
      <x:c r="A179" t="str">
        <x:v>SOURCE_VALUE_SEMANTICS</x:v>
      </x:c>
      <x:c r="B179" t="str">
        <x:v>OFFICIAL_VALUES_CONFLICT</x:v>
      </x:c>
    </x:row>
    <x:row r="180">
      <x:c r="A180" t="str">
        <x:v>REQUIREMENT_LEVEL</x:v>
      </x:c>
      <x:c r="B180" t="str">
        <x:v>CONDITIONAL_MUST</x:v>
      </x:c>
    </x:row>
    <x:row r="181">
      <x:c r="A181" t="str">
        <x:v>FACT_SCOPE</x:v>
      </x:c>
      <x:c r="B181" t="str">
        <x:v>ANY</x:v>
      </x:c>
    </x:row>
    <x:row r="182">
      <x:c r="A182" t="str">
        <x:v>FACT_SCOPE</x:v>
      </x:c>
      <x:c r="B182" t="str">
        <x:v>POWERTRAIN_OR_CONFIGURATION</x:v>
      </x:c>
    </x:row>
  </x:sheetData>
  <x:pageMargins left="0.7" right="0.7" top="0.75" bottom="0.75" header="0.3" footer="0.3"/>
  <x:tableParts count="1">
    <x:tablePart xmlns:r="http://schemas.openxmlformats.org/officeDocument/2006/relationships" r:id="R96176a727f4241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4" max="4" width="62" hidden="0" customWidth="1"/>
    <x:col min="5" max="5" width="42" hidden="0" customWidth="1"/>
    <x:col min="6" max="6" width="14" hidden="0" customWidth="1"/>
    <x:col min="3" max="3" width="46" hidden="0" customWidth="1"/>
  </x:cols>
  <x:sheetData>
    <x:row r="1">
      <x:c r="A1" s="14" t="str">
        <x:v>Expiya Cars Vehicle Evidence Dataset v0.1</x:v>
      </x:c>
      <x:c r="B1" s="14"/>
      <x:c r="C1" s="14"/>
      <x:c r="D1" s="14"/>
      <x:c r="E1" s="14"/>
      <x:c r="F1" s="14"/>
    </x:row>
    <x:row r="2">
      <x:c r="A2"/>
      <x:c r="B2"/>
      <x:c r="C2"/>
      <x:c r="D2"/>
      <x:c r="E2"/>
      <x:c r="F2"/>
    </x:row>
    <x:row r="3">
      <x:c r="A3" s="21" t="str">
        <x:v>Purpose</x:v>
      </x:c>
      <x:c r="B3" s="26" t="str">
        <x:v>Canonical, provenance-first vehicle evidence workbook for Expiya Cars MVP.</x:v>
      </x:c>
      <x:c r="C3"/>
      <x:c r="D3" s="21" t="str">
        <x:v>Micro-pilot Acceptance Gates</x:v>
      </x:c>
      <x:c r="E3" s="21"/>
      <x:c r="F3" s="21"/>
    </x:row>
    <x:row r="4">
      <x:c r="A4" s="21" t="str">
        <x:v>Status</x:v>
      </x:c>
      <x:c r="B4" s="26" t="str">
        <x:v>APPROVED MASTER v0.1.0 — VALIDATOR PASS</x:v>
      </x:c>
      <x:c r="C4"/>
      <x:c r="D4" s="26" t="str">
        <x:v>Gate 1</x:v>
      </x:c>
      <x:c r="E4" s="26" t="str">
        <x:v>Identity</x:v>
      </x:c>
      <x:c r="F4" s="26" t="str">
        <x:v>Each configuration can be uniquely resolved.</x:v>
      </x:c>
    </x:row>
    <x:row r="5">
      <x:c r="A5" s="21" t="str">
        <x:v>Baseline</x:v>
      </x:c>
      <x:c r="B5" s="26" t="str">
        <x:v>Vehicle Identity + Typed Evidence + Equipment + Safety + Fact-level Provenance</x:v>
      </x:c>
      <x:c r="C5"/>
      <x:c r="D5" s="26" t="str">
        <x:v>Gate 2</x:v>
      </x:c>
      <x:c r="E5" s="26" t="str">
        <x:v>Applicability</x:v>
      </x:c>
      <x:c r="F5" s="26" t="str">
        <x:v>Facts do not leak across wrong trims/model years.</x:v>
      </x:c>
    </x:row>
    <x:row r="6">
      <x:c r="A6" s="21" t="str">
        <x:v>Core principle</x:v>
      </x:c>
      <x:c r="B6" s="26" t="str">
        <x:v>No vehicle fact should be treated as VERIFIED without an applicable evidence assertion.</x:v>
      </x:c>
      <x:c r="C6"/>
      <x:c r="D6" s="26" t="str">
        <x:v>Gate 3</x:v>
      </x:c>
      <x:c r="E6" s="26" t="str">
        <x:v>Provenance</x:v>
      </x:c>
      <x:c r="F6" s="26" t="str">
        <x:v>Every material VERIFIED fact answers “How do we know?”</x:v>
      </x:c>
    </x:row>
    <x:row r="7">
      <x:c r="A7" s="21" t="str">
        <x:v>Unknown semantics</x:v>
      </x:c>
      <x:c r="B7" s="26" t="str">
        <x:v>UNKNOWN ≠ NOT_AVAILABLE ≠ NOT_APPLICABLE.</x:v>
      </x:c>
      <x:c r="C7"/>
      <x:c r="D7" s="26" t="str">
        <x:v>Gate 4</x:v>
      </x:c>
      <x:c r="E7" s="26" t="str">
        <x:v>Unknown</x:v>
      </x:c>
      <x:c r="F7" s="26" t="str">
        <x:v>Missing facts remain explicitly UNKNOWN.</x:v>
      </x:c>
    </x:row>
    <x:row r="8">
      <x:c r="A8" s="21" t="str">
        <x:v>Conflict semantics</x:v>
      </x:c>
      <x:c r="B8" s="26" t="str">
        <x:v>Conflicting sources are preserved; values are not averaged or guessed.</x:v>
      </x:c>
      <x:c r="C8"/>
      <x:c r="D8" s="26" t="str">
        <x:v>Gate 5</x:v>
      </x:c>
      <x:c r="E8" s="26" t="str">
        <x:v>Conflict</x:v>
      </x:c>
      <x:c r="F8" s="26" t="str">
        <x:v>Conflicting sources are preserved without averaging.</x:v>
      </x:c>
    </x:row>
    <x:row r="9">
      <x:c r="A9" s="21" t="str">
        <x:v>LLM rule</x:v>
      </x:c>
      <x:c r="B9" s="26" t="str">
        <x:v>LLM may assist extraction/reasoning, but may not invent vehicle specifications.</x:v>
      </x:c>
      <x:c r="C9"/>
      <x:c r="D9" s="26" t="str">
        <x:v>Gate 6</x:v>
      </x:c>
      <x:c r="E9" s="26" t="str">
        <x:v>Decision usefulness</x:v>
      </x:c>
      <x:c r="F9" s="26" t="str">
        <x:v>Material requirements map to available facts.</x:v>
      </x:c>
    </x:row>
    <x:row r="10">
      <x:c r="A10" s="21" t="str">
        <x:v>Suitability rule</x:v>
      </x:c>
      <x:c r="B10" s="26" t="str">
        <x:v>No arbitrary suitability scores are stored in this dataset.</x:v>
      </x:c>
      <x:c r="C10"/>
      <x:c r="D10" s="26" t="str">
        <x:v>Gate 7</x:v>
      </x:c>
      <x:c r="E10" s="26" t="str">
        <x:v>Economics</x:v>
      </x:c>
      <x:c r="F10" s="26" t="str">
        <x:v>Collection effort per model is acceptable.</x:v>
      </x:c>
    </x:row>
    <x:row r="11">
      <x:c r="A11" s="21" t="str">
        <x:v>Legacy v0.3</x:v>
      </x:c>
      <x:c r="B11" s="26" t="str">
        <x:v>Use as discovery/index seed only. Migration must not auto-promote facts to VERIFIED.</x:v>
      </x:c>
      <x:c r="C11"/>
      <x:c r="D11"/>
      <x:c r="E11"/>
      <x:c r="F11"/>
    </x:row>
    <x:row r="12">
      <x:c r="A12" s="21" t="str">
        <x:v>Pilot rule</x:v>
      </x:c>
      <x:c r="B12" s="26" t="str">
        <x:v>Validate schema with 8 model families before scaling to 50–100 models.</x:v>
      </x:c>
      <x:c r="C12"/>
      <x:c r="D12"/>
      <x:c r="E12"/>
      <x:c r="F12"/>
    </x:row>
    <x:row r="13">
      <x:c r="A13" s="21" t="str">
        <x:v>ID pattern</x:v>
      </x:c>
      <x:c r="B13" s="26" t="str">
        <x:v>Readable IDs are allocated by repository tooling; existing IDs are immutable.</x:v>
      </x:c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 s="41" t="str">
        <x:v>MICRO-PILOT 01 — STARTED 2026-08-14</x:v>
      </x:c>
      <x:c r="B16" s="41"/>
      <x:c r="C16" s="41"/>
      <x:c r="D16" s="41"/>
      <x:c r="E16" s="41"/>
      <x:c r="F16" s="41"/>
    </x:row>
    <x:row r="17">
      <x:c r="A17" s="44" t="str">
        <x:v>Pilot</x:v>
      </x:c>
      <x:c r="B17" s="44" t="str">
        <x:v>Model</x:v>
      </x:c>
      <x:c r="C17" s="44" t="str">
        <x:v>Primary stress case</x:v>
      </x:c>
      <x:c r="D17" s="44" t="str">
        <x:v>Initial status</x:v>
      </x:c>
      <x:c r="E17" s="44" t="str">
        <x:v>Representative configuration</x:v>
      </x:c>
      <x:c r="F17" s="44" t="str">
        <x:v>Source-first</x:v>
      </x:c>
    </x:row>
    <x:row r="18">
      <x:c r="A18" s="26" t="str">
        <x:v>01</x:v>
      </x:c>
      <x:c r="B18" s="26" t="str">
        <x:v>Renault Clio</x:v>
      </x:c>
      <x:c r="C18" s="26" t="str">
        <x:v>Petrol / urban</x:v>
      </x:c>
      <x:c r="D18" s="26" t="str">
        <x:v>STARTED</x:v>
      </x:c>
      <x:c r="E18" s="26" t="str">
        <x:v>TCe 115 / trim TBD</x:v>
      </x:c>
      <x:c r="F18" s="26" t="str">
        <x:v>Yes</x:v>
      </x:c>
    </x:row>
    <x:row r="19">
      <x:c r="A19" s="26" t="str">
        <x:v>02</x:v>
      </x:c>
      <x:c r="B19" s="26" t="str">
        <x:v>Fiat Egea Sedan</x:v>
      </x:c>
      <x:c r="C19" s="26" t="str">
        <x:v>Diesel</x:v>
      </x:c>
      <x:c r="D19" s="26" t="str">
        <x:v>STARTED</x:v>
      </x:c>
      <x:c r="E19" s="26" t="str">
        <x:v>Easy 1.6 M.Jet 130 HP</x:v>
      </x:c>
      <x:c r="F19" s="26" t="str">
        <x:v>Yes</x:v>
      </x:c>
    </x:row>
    <x:row r="20">
      <x:c r="A20" s="26" t="str">
        <x:v>03</x:v>
      </x:c>
      <x:c r="B20" s="26" t="str">
        <x:v>Toyota Corolla Sedan</x:v>
      </x:c>
      <x:c r="C20" s="26" t="str">
        <x:v>HEV family</x:v>
      </x:c>
      <x:c r="D20" s="26" t="str">
        <x:v>STARTED</x:v>
      </x:c>
      <x:c r="E20" s="26" t="str">
        <x:v>1.8 Hybrid Dream e-CVT</x:v>
      </x:c>
      <x:c r="F20" s="26" t="str">
        <x:v>Yes</x:v>
      </x:c>
    </x:row>
    <x:row r="21">
      <x:c r="A21" s="26" t="str">
        <x:v>04</x:v>
      </x:c>
      <x:c r="B21" s="26" t="str">
        <x:v>Suzuki Vitara</x:v>
      </x:c>
      <x:c r="C21" s="26" t="str">
        <x:v>MHEV + 4WD</x:v>
      </x:c>
      <x:c r="D21" s="26" t="str">
        <x:v>STARTED</x:v>
      </x:c>
      <x:c r="E21" s="26" t="str">
        <x:v>1.4 MHEV 6AT AllGrip GL Elegance</x:v>
      </x:c>
      <x:c r="F21" s="26" t="str">
        <x:v>Yes</x:v>
      </x:c>
    </x:row>
    <x:row r="22">
      <x:c r="A22" s="26" t="str">
        <x:v>05</x:v>
      </x:c>
      <x:c r="B22" s="26" t="str">
        <x:v>BYD SEAL U DM-i</x:v>
      </x:c>
      <x:c r="C22" s="26" t="str">
        <x:v>PHEV</x:v>
      </x:c>
      <x:c r="D22" s="26" t="str">
        <x:v>STARTED</x:v>
      </x:c>
      <x:c r="E22" s="26" t="str">
        <x:v>1.5L Design</x:v>
      </x:c>
      <x:c r="F22" s="26" t="str">
        <x:v>Yes</x:v>
      </x:c>
    </x:row>
    <x:row r="23">
      <x:c r="A23" s="26" t="str">
        <x:v>06</x:v>
      </x:c>
      <x:c r="B23" s="26" t="str">
        <x:v>Kia EV3</x:v>
      </x:c>
      <x:c r="C23" s="26" t="str">
        <x:v>BEV compact</x:v>
      </x:c>
      <x:c r="D23" s="26" t="str">
        <x:v>STARTED</x:v>
      </x:c>
      <x:c r="E23" s="26" t="str">
        <x:v>Electric Prestige</x:v>
      </x:c>
      <x:c r="F23" s="26" t="str">
        <x:v>Yes</x:v>
      </x:c>
    </x:row>
    <x:row r="24">
      <x:c r="A24" s="26" t="str">
        <x:v>07</x:v>
      </x:c>
      <x:c r="B24" s="26" t="str">
        <x:v>Togg T10X</x:v>
      </x:c>
      <x:c r="C24" s="26" t="str">
        <x:v>BEV / local ecosystem</x:v>
      </x:c>
      <x:c r="D24" s="26" t="str">
        <x:v>STARTED</x:v>
      </x:c>
      <x:c r="E24" s="26" t="str">
        <x:v>RWD Long Range</x:v>
      </x:c>
      <x:c r="F24" s="26" t="str">
        <x:v>Yes</x:v>
      </x:c>
    </x:row>
    <x:row r="25">
      <x:c r="A25" s="26" t="str">
        <x:v>08</x:v>
      </x:c>
      <x:c r="B25" s="26" t="str">
        <x:v>Dacia Sandero Stepway</x:v>
      </x:c>
      <x:c r="C25" s="26" t="str">
        <x:v>LPG dual-fuel</x:v>
      </x:c>
      <x:c r="D25" s="26" t="str">
        <x:v>STARTED</x:v>
      </x:c>
      <x:c r="E25" s="26" t="str">
        <x:v>Expression Eco-G 120 auto</x:v>
      </x:c>
      <x:c r="F25" s="26" t="str">
        <x:v>Yes</x:v>
      </x:c>
    </x:row>
    <x:row r="26">
      <x:c r="A26"/>
      <x:c r="B26"/>
      <x:c r="C26"/>
      <x:c r="D26"/>
      <x:c r="E26"/>
      <x:c r="F26"/>
    </x:row>
    <x:row r="27">
      <x:c r="A27" s="47" t="str">
        <x:v>MICRO-PILOT P0 — FIRST COLLECTION PASS FINDINGS</x:v>
      </x:c>
      <x:c r="B27" s="47"/>
      <x:c r="C27" s="47"/>
      <x:c r="D27" s="47"/>
      <x:c r="E27" s="47"/>
      <x:c r="F27" s="47"/>
    </x:row>
    <x:row r="28">
      <x:c r="A28" s="49" t="str">
        <x:v>Finding</x:v>
      </x:c>
      <x:c r="B28" s="49" t="str">
        <x:v>Status</x:v>
      </x:c>
      <x:c r="C28" s="49" t="str">
        <x:v>Example</x:v>
      </x:c>
      <x:c r="D28" s="49" t="str">
        <x:v>Data-contract implication</x:v>
      </x:c>
      <x:c r="E28"/>
      <x:c r="F28"/>
    </x:row>
    <x:row r="29">
      <x:c r="A29" s="26" t="str">
        <x:v>Charge interval</x:v>
      </x:c>
      <x:c r="B29" s="26" t="str">
        <x:v>SCHEMA GAP</x:v>
      </x:c>
      <x:c r="C29" s="26" t="str">
        <x:v>Togg 20–80; BYD 30–80; Kia 10–80</x:v>
      </x:c>
      <x:c r="D29" s="26" t="str">
        <x:v>Use generic dc_charge_time_min + SOC context; fixed 10–80 field is insufficient.</x:v>
      </x:c>
      <x:c r="E29"/>
      <x:c r="F29"/>
    </x:row>
    <x:row r="30">
      <x:c r="A30" s="26" t="str">
        <x:v>Battery semantics</x:v>
      </x:c>
      <x:c r="B30" s="26" t="str">
        <x:v>SCHEMA GAP</x:v>
      </x:c>
      <x:c r="C30" s="26" t="str">
        <x:v>BYD 18.3; Kia 58.3 without gross/usable label</x:v>
      </x:c>
      <x:c r="D30" s="26" t="str">
        <x:v>Need battery_capacity_reported_kwh for source-exact but semantically unspecified values.</x:v>
      </x:c>
      <x:c r="E30"/>
      <x:c r="F30"/>
    </x:row>
    <x:row r="31">
      <x:c r="A31" s="26" t="str">
        <x:v>Numeric ranges</x:v>
      </x:c>
      <x:c r="B31" s="26" t="str">
        <x:v>SCHEMA GAP</x:v>
      </x:c>
      <x:c r="C31" s="26" t="str">
        <x:v>Corolla Hybrid 4.5–4.7 L/100km</x:v>
      </x:c>
      <x:c r="D31" s="26" t="str">
        <x:v>Future schema should support native min/max numeric range.</x:v>
      </x:c>
      <x:c r="E31"/>
      <x:c r="F31"/>
    </x:row>
    <x:row r="32">
      <x:c r="A32" s="26" t="str">
        <x:v>Official discrepancy</x:v>
      </x:c>
      <x:c r="B32" s="26" t="str">
        <x:v>WORKFLOW TEST PASS</x:v>
      </x:c>
      <x:c r="C32" s="26" t="str">
        <x:v>Togg 523 km vs V2/18in 610 km</x:v>
      </x:c>
      <x:c r="D32" s="26" t="str">
        <x:v>Applicability/identity must resolve before VERIFIED.</x:v>
      </x:c>
      <x:c r="E32"/>
      <x:c r="F32"/>
    </x:row>
    <x:row r="33">
      <x:c r="A33" s="26" t="str">
        <x:v>Unknown ≠ absent</x:v>
      </x:c>
      <x:c r="B33" s="26" t="str">
        <x:v>WORKFLOW TEST PASS</x:v>
      </x:c>
      <x:c r="C33" s="26" t="str">
        <x:v>Egea Easy CarPlay not listed</x:v>
      </x:c>
      <x:c r="D33" s="26" t="str">
        <x:v>Do not convert unlisted equipment into NOT_AVAILABLE.</x:v>
      </x:c>
      <x:c r="E33"/>
      <x:c r="F33"/>
    </x:row>
    <x:row r="34">
      <x:c r="A34" s="26" t="str">
        <x:v>Trim inheritance</x:v>
      </x:c>
      <x:c r="B34" s="26" t="str">
        <x:v>WORKFLOW TEST PASS</x:v>
      </x:c>
      <x:c r="C34" s="26" t="str">
        <x:v>Kia Prestige inherits lower-trim equipment</x:v>
      </x:c>
      <x:c r="D34" s="26" t="str">
        <x:v>Configuration equipment needs explicit inheritance handling.</x:v>
      </x:c>
      <x:c r="E34"/>
      <x:c r="F34"/>
    </x:row>
    <x:row r="35">
      <x:c r="A35"/>
      <x:c r="B35"/>
      <x:c r="C35"/>
      <x:c r="D35"/>
      <x:c r="E35"/>
      <x:c r="F35"/>
    </x:row>
    <x:row r="36">
      <x:c r="A36" s="76" t="str">
        <x:v>MICRO-PILOT v0.1 — FINAL VERDICT</x:v>
      </x:c>
      <x:c r="B36" s="76"/>
      <x:c r="C36" s="76"/>
      <x:c r="D36" s="76"/>
      <x:c r="E36" s="76"/>
      <x:c r="F36" s="76"/>
    </x:row>
    <x:row r="37">
      <x:c r="A37" s="77" t="str">
        <x:v>Verdict</x:v>
      </x:c>
      <x:c r="B37" s="26" t="str">
        <x:v>PASS WITH REDUCTION</x:v>
      </x:c>
      <x:c r="C37" s="26"/>
      <x:c r="D37" s="26"/>
      <x:c r="E37" s="26"/>
      <x:c r="F37" s="26"/>
    </x:row>
    <x:row r="38">
      <x:c r="A38" s="77" t="str">
        <x:v>Why not full PASS</x:v>
      </x:c>
      <x:c r="B38" s="26" t="str">
        <x:v>Official-market sources do not publish every desired core fact consistently; universal completeness would force secondary sources or invented certainty.</x:v>
      </x:c>
      <x:c r="C38" s="26"/>
      <x:c r="D38" s="26"/>
      <x:c r="E38" s="26"/>
      <x:c r="F38" s="26"/>
    </x:row>
    <x:row r="39">
      <x:c r="A39" s="77" t="str">
        <x:v>What passed</x:v>
      </x:c>
      <x:c r="B39" s="26" t="str">
        <x:v>Canonical identity, configuration specificity, fact-level provenance, explicit UNKNOWN, conflict preservation, equipment semantics, source/applicability separation.</x:v>
      </x:c>
      <x:c r="C39" s="26"/>
      <x:c r="D39" s="26"/>
      <x:c r="E39" s="26"/>
      <x:c r="F39" s="26"/>
    </x:row>
    <x:row r="40">
      <x:c r="A40" s="77" t="str">
        <x:v>Final schema change</x:v>
      </x:c>
      <x:c r="B40" s="26" t="str">
        <x:v>ground_clearance_mm = CONDITIONAL_MUST only when rough-road/camping/stabilized-road/off-road/clearance is materially relevant.</x:v>
      </x:c>
      <x:c r="C40" s="26"/>
      <x:c r="D40" s="26"/>
      <x:c r="E40" s="26"/>
      <x:c r="F40" s="26"/>
    </x:row>
    <x:row r="41">
      <x:c r="A41" s="77" t="str">
        <x:v>Togg closure</x:v>
      </x:c>
      <x:c r="B41" s="26" t="str">
        <x:v>OPEN — T10X values remain REPORTED with UNVERIFIED/PARTIAL assertions until exact generation/configuration applicability is source-backed.</x:v>
      </x:c>
      <x:c r="C41" s="26"/>
      <x:c r="D41" s="26"/>
      <x:c r="E41" s="26"/>
      <x:c r="F41" s="26"/>
    </x:row>
    <x:row r="42">
      <x:c r="A42" s="77" t="str">
        <x:v>Egea closure</x:v>
      </x:c>
      <x:c r="B42" s="26" t="str">
        <x:v>Pilot configuration changed to exact verified Easy 1.6 M.Jet 130 HP 6MT; unsupported Easy+automatic linkage removed.</x:v>
      </x:c>
      <x:c r="C42" s="26"/>
      <x:c r="D42" s="26"/>
      <x:c r="E42" s="26"/>
      <x:c r="F42" s="26"/>
    </x:row>
    <x:row r="43">
      <x:c r="A43" s="77" t="str">
        <x:v>Scale decision</x:v>
      </x:c>
      <x:c r="B43" s="26" t="str">
        <x:v>SCALE READY WITH NON-BLOCKING WARNINGS — source snapshot/hash capture remains open.</x:v>
      </x:c>
      <x:c r="C43" s="26"/>
      <x:c r="D43" s="26"/>
      <x:c r="E43" s="26"/>
      <x:c r="F43" s="26"/>
    </x:row>
    <x:row r="44">
      <x:c r="A44" s="77" t="str">
        <x:v>Guardrail</x:v>
      </x:c>
      <x:c r="B44" s="26" t="str">
        <x:v>No UNKNOWN/NOT_FOUND fact may be silently substituted from LLM memory. Secondary sources require explicit lower authority and provenance.</x:v>
      </x:c>
      <x:c r="C44" s="26"/>
      <x:c r="D44" s="26"/>
      <x:c r="E44" s="26"/>
      <x:c r="F44" s="26"/>
    </x:row>
    <x:row r="45">
      <x:c r="A45" t="str">
        <x:v>MASTER DATASET METADATA</x:v>
      </x:c>
      <x:c r="B45"/>
      <x:c r="C45"/>
      <x:c r="D45"/>
      <x:c r="E45"/>
      <x:c r="F45"/>
    </x:row>
    <x:row r="46">
      <x:c r="A46" t="str">
        <x:v>dataset_version</x:v>
      </x:c>
      <x:c r="B46" t="str">
        <x:v>0.1.0</x:v>
      </x:c>
      <x:c r="C46"/>
      <x:c r="D46" t="str">
        <x:v>schema_version</x:v>
      </x:c>
      <x:c r="E46" t="str">
        <x:v>0.1</x:v>
      </x:c>
      <x:c r="F46"/>
    </x:row>
    <x:row r="47">
      <x:c r="A47" t="str">
        <x:v>batch_id</x:v>
      </x:c>
      <x:c r="B47" t="str">
        <x:v>MICROPILOT01</x:v>
      </x:c>
      <x:c r="C47"/>
      <x:c r="D47" t="str">
        <x:v>release_date</x:v>
      </x:c>
      <x:c r="E47" t="str">
        <x:v>2026-08-14</x:v>
      </x:c>
      <x:c r="F47"/>
    </x:row>
    <x:row r="48">
      <x:c r="A48" t="str">
        <x:v>created_at</x:v>
      </x:c>
      <x:c r="B48" t="str">
        <x:v>2026-08-14</x:v>
      </x:c>
      <x:c r="C48"/>
      <x:c r="D48" t="str">
        <x:v>updated_at</x:v>
      </x:c>
      <x:c r="E48" t="str">
        <x:v>2026-08-14</x:v>
      </x:c>
      <x:c r="F48"/>
    </x:row>
    <x:row r="49">
      <x:c r="A49" t="str">
        <x:v>Experience layer</x:v>
      </x:c>
      <x:c r="B49" t="str">
        <x:v>Not active; schema will be introduced in a separate work unit before ingestion.</x:v>
      </x:c>
      <x:c r="C49"/>
      <x:c r="D49"/>
      <x:c r="E49"/>
      <x:c r="F49"/>
    </x:row>
    <x:row r="50">
      <x:c r="A50" t="str">
        <x:v>Safety boundary</x:v>
      </x:c>
      <x:c r="B50" t="str">
        <x:v>Empty 07_SAFETY is valid; future safety authority policy is distinct from manufacturer technical authority.</x:v>
      </x:c>
      <x:c r="C50"/>
      <x:c r="D50"/>
      <x:c r="E50"/>
      <x:c r="F50"/>
    </x:row>
  </x:sheetData>
  <x:mergeCells>
    <x:mergeCell ref="A1:F1"/>
    <x:mergeCell ref="D3:F3"/>
    <x:mergeCell ref="A16:F16"/>
    <x:mergeCell ref="A27:F27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6" hidden="0" customWidth="1"/>
    <x:col min="5" max="5" width="20" hidden="0" customWidth="1"/>
    <x:col min="6" max="6" width="28" hidden="0" customWidth="1"/>
    <x:col min="7" max="7" width="22" hidden="0" customWidth="1"/>
    <x:col min="8" max="8" width="36" hidden="0" customWidth="1"/>
  </x:cols>
  <x:sheetData>
    <x:row r="1">
      <x:c r="A1" s="6" t="str">
        <x:v>model_id</x:v>
      </x:c>
      <x:c r="B1" s="6" t="str">
        <x:v>brand</x:v>
      </x:c>
      <x:c r="C1" s="6" t="str">
        <x:v>model_name</x:v>
      </x:c>
      <x:c r="D1" s="6" t="str">
        <x:v>body_family</x:v>
      </x:c>
      <x:c r="E1" s="6" t="str">
        <x:v>market_relevance_tr</x:v>
      </x:c>
      <x:c r="F1" s="6" t="str">
        <x:v>source_catalog_status</x:v>
      </x:c>
      <x:c r="G1" s="6" t="str">
        <x:v>legacy_source_id</x:v>
      </x:c>
      <x:c r="H1" s="6" t="str">
        <x:v>notes</x:v>
      </x:c>
    </x:row>
    <x:row r="2">
      <x:c r="A2" s="26" t="str">
        <x:v>MOD-000001</x:v>
      </x:c>
      <x:c r="B2" s="26" t="str">
        <x:v>Renault</x:v>
      </x:c>
      <x:c r="C2" s="26" t="str">
        <x:v>Clio</x:v>
      </x:c>
      <x:c r="D2" s="26" t="str">
        <x:v>HATCHBACK</x:v>
      </x:c>
      <x:c r="E2" s="26" t="str">
        <x:v>CURRENT</x:v>
      </x:c>
      <x:c r="F2" s="26" t="str">
        <x:v>RESMI_KAYNAKTAN_DERLENDI</x:v>
      </x:c>
      <x:c r="G2" s="26" t="str">
        <x:v>PILOT-01</x:v>
      </x:c>
      <x:c r="H2" s="26" t="str">
        <x:v>2026 micro-pilot: conventional petrol / compact urban</x:v>
      </x:c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MOD-000002</x:v>
      </x:c>
      <x:c r="B3" s="26" t="str">
        <x:v>Fiat</x:v>
      </x:c>
      <x:c r="C3" s="26" t="str">
        <x:v>Egea Sedan</x:v>
      </x:c>
      <x:c r="D3" s="26" t="str">
        <x:v>SEDAN</x:v>
      </x:c>
      <x:c r="E3" s="26" t="str">
        <x:v>CURRENT</x:v>
      </x:c>
      <x:c r="F3" s="26" t="str">
        <x:v>RESMI_KAYNAKTAN_DERLENDI</x:v>
      </x:c>
      <x:c r="G3" s="26" t="str">
        <x:v>PILOT-02</x:v>
      </x:c>
      <x:c r="H3" s="26" t="str">
        <x:v>2026 micro-pilot: diesel / mainstream sedan</x:v>
      </x:c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MOD-000003</x:v>
      </x:c>
      <x:c r="B4" s="26" t="str">
        <x:v>Toyota</x:v>
      </x:c>
      <x:c r="C4" s="26" t="str">
        <x:v>Corolla Sedan</x:v>
      </x:c>
      <x:c r="D4" s="26" t="str">
        <x:v>SEDAN</x:v>
      </x:c>
      <x:c r="E4" s="26" t="str">
        <x:v>CURRENT</x:v>
      </x:c>
      <x:c r="F4" s="26" t="str">
        <x:v>RESMI_KAYNAKTAN_DERLENDI</x:v>
      </x:c>
      <x:c r="G4" s="26" t="str">
        <x:v>PILOT-03</x:v>
      </x:c>
      <x:c r="H4" s="26" t="str">
        <x:v>2026 micro-pilot: HEV / compact family sedan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MOD-000004</x:v>
      </x:c>
      <x:c r="B5" s="26" t="str">
        <x:v>Suzuki</x:v>
      </x:c>
      <x:c r="C5" s="26" t="str">
        <x:v>Vitara</x:v>
      </x:c>
      <x:c r="D5" s="26" t="str">
        <x:v>SUV</x:v>
      </x:c>
      <x:c r="E5" s="26" t="str">
        <x:v>CURRENT</x:v>
      </x:c>
      <x:c r="F5" s="26" t="str">
        <x:v>RESMI_KAYNAKTAN_DERLENDI</x:v>
      </x:c>
      <x:c r="G5" s="26" t="str">
        <x:v>PILOT-04</x:v>
      </x:c>
      <x:c r="H5" s="26" t="str">
        <x:v>2026 micro-pilot: MHEV + AllGrip / compact AWD SUV</x:v>
      </x:c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MOD-000005</x:v>
      </x:c>
      <x:c r="B6" s="26" t="str">
        <x:v>BYD</x:v>
      </x:c>
      <x:c r="C6" s="26" t="str">
        <x:v>SEAL U DM-i</x:v>
      </x:c>
      <x:c r="D6" s="26" t="str">
        <x:v>SUV</x:v>
      </x:c>
      <x:c r="E6" s="26" t="str">
        <x:v>CURRENT</x:v>
      </x:c>
      <x:c r="F6" s="26" t="str">
        <x:v>RESMI_KAYNAKTAN_DERLENDI</x:v>
      </x:c>
      <x:c r="G6" s="26" t="str">
        <x:v>PILOT-05</x:v>
      </x:c>
      <x:c r="H6" s="26" t="str">
        <x:v>2026 micro-pilot: PHEV</x:v>
      </x:c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MOD-000006</x:v>
      </x:c>
      <x:c r="B7" s="26" t="str">
        <x:v>Kia</x:v>
      </x:c>
      <x:c r="C7" s="26" t="str">
        <x:v>EV3</x:v>
      </x:c>
      <x:c r="D7" s="26" t="str">
        <x:v>SUV</x:v>
      </x:c>
      <x:c r="E7" s="26" t="str">
        <x:v>CURRENT</x:v>
      </x:c>
      <x:c r="F7" s="26" t="str">
        <x:v>RESMI_KAYNAKTAN_DERLENDI</x:v>
      </x:c>
      <x:c r="G7" s="26" t="str">
        <x:v>PILOT-06</x:v>
      </x:c>
      <x:c r="H7" s="26" t="str">
        <x:v>2026 micro-pilot: BEV / compact SUV</x:v>
      </x:c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MOD-000007</x:v>
      </x:c>
      <x:c r="B8" s="26" t="str">
        <x:v>Togg</x:v>
      </x:c>
      <x:c r="C8" s="26" t="str">
        <x:v>T10X</x:v>
      </x:c>
      <x:c r="D8" s="26" t="str">
        <x:v>SUV</x:v>
      </x:c>
      <x:c r="E8" s="26" t="str">
        <x:v>CURRENT</x:v>
      </x:c>
      <x:c r="F8" s="26" t="str">
        <x:v>RESMI_KAYNAKTAN_DERLENDI</x:v>
      </x:c>
      <x:c r="G8" s="26" t="str">
        <x:v>PILOT-07</x:v>
      </x:c>
      <x:c r="H8" s="26" t="str">
        <x:v>2026 micro-pilot: BEV / Turkey-local source ecosystem</x:v>
      </x:c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MOD-000008</x:v>
      </x:c>
      <x:c r="B9" s="26" t="str">
        <x:v>Dacia</x:v>
      </x:c>
      <x:c r="C9" s="26" t="str">
        <x:v>Sandero Stepway</x:v>
      </x:c>
      <x:c r="D9" s="26" t="str">
        <x:v>HATCHBACK</x:v>
      </x:c>
      <x:c r="E9" s="26" t="str">
        <x:v>CURRENT</x:v>
      </x:c>
      <x:c r="F9" s="26" t="str">
        <x:v>RESMI_KAYNAKTAN_DERLENDI</x:v>
      </x:c>
      <x:c r="G9" s="26" t="str">
        <x:v>PILOT-08</x:v>
      </x:c>
      <x:c r="H9" s="26" t="str">
        <x:v>2026 micro-pilot: LPG+petrol dual-fuel / compact crossover</x:v>
      </x:c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'12_LISTS'!$B$2:$B$12</x:formula1>
    </x:dataValidation>
    <x:dataValidation type="list" sqref="E2:E500">
      <x:formula1>'12_LISTS'!$B$13:$B$18</x:formula1>
    </x:dataValidation>
    <x:dataValidation type="list" sqref="F2:F500">
      <x:formula1>'12_LISTS'!$B$19:$B$22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01726429a842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36" hidden="0" customWidth="1"/>
  </x:cols>
  <x:sheetData>
    <x:row r="1">
      <x:c r="A1" s="6" t="str">
        <x:v>generation_id</x:v>
      </x:c>
      <x:c r="B1" s="6" t="str">
        <x:v>model_id</x:v>
      </x:c>
      <x:c r="C1" s="6" t="str">
        <x:v>generation_name</x:v>
      </x:c>
      <x:c r="D1" s="6" t="str">
        <x:v>generation_code</x:v>
      </x:c>
      <x:c r="E1" s="6" t="str">
        <x:v>facelift_status</x:v>
      </x:c>
      <x:c r="F1" s="6" t="str">
        <x:v>production_start_year</x:v>
      </x:c>
      <x:c r="G1" s="6" t="str">
        <x:v>production_end_year</x:v>
      </x:c>
      <x:c r="H1" s="6" t="str">
        <x:v>market_start_year_tr</x:v>
      </x:c>
      <x:c r="I1" s="6" t="str">
        <x:v>market_end_year_tr</x:v>
      </x:c>
      <x:c r="J1" s="6" t="str">
        <x:v>identity_status</x:v>
      </x:c>
      <x:c r="K1" s="6" t="str">
        <x:v>legacy_source_id</x:v>
      </x:c>
      <x:c r="L1" s="6" t="str">
        <x:v>notes</x:v>
      </x:c>
    </x:row>
    <x:row r="2">
      <x:c r="A2" s="26" t="str">
        <x:v>GEN-000001</x:v>
      </x:c>
      <x:c r="B2" s="26" t="str">
        <x:v>MOD-000001</x:v>
      </x:c>
      <x:c r="C2" s="26" t="str">
        <x:v>2026 New Clio</x:v>
      </x:c>
      <x:c r="D2" s="26" t="str"/>
      <x:c r="E2" s="26" t="str">
        <x:v>UNKNOWN</x:v>
      </x:c>
      <x:c r="F2" s="26"/>
      <x:c r="G2" s="26"/>
      <x:c r="H2" s="26" t="n">
        <x:v>2026</x:v>
      </x:c>
      <x:c r="I2" s="26"/>
      <x:c r="J2" s="26" t="str">
        <x:v>PROVISIONAL</x:v>
      </x:c>
      <x:c r="K2" s="26" t="str">
        <x:v>PILOT-01</x:v>
      </x:c>
      <x:c r="L2" s="26" t="str">
        <x:v>Exact generation code/name to be verified from official documentation.</x:v>
      </x:c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GEN-000002</x:v>
      </x:c>
      <x:c r="B3" s="26" t="str">
        <x:v>MOD-000002</x:v>
      </x:c>
      <x:c r="C3" s="26" t="str">
        <x:v>Current Egea Sedan</x:v>
      </x:c>
      <x:c r="D3" s="26" t="str"/>
      <x:c r="E3" s="26" t="str">
        <x:v>UNKNOWN</x:v>
      </x:c>
      <x:c r="F3" s="26"/>
      <x:c r="G3" s="26"/>
      <x:c r="H3" s="26"/>
      <x:c r="I3" s="26"/>
      <x:c r="J3" s="26" t="str">
        <x:v>PROVISIONAL</x:v>
      </x:c>
      <x:c r="K3" s="26" t="str">
        <x:v>PILOT-02</x:v>
      </x:c>
      <x:c r="L3" s="26" t="str">
        <x:v>Generation boundaries to be resolved during identity pass.</x:v>
      </x:c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GEN-000003</x:v>
      </x:c>
      <x:c r="B4" s="26" t="str">
        <x:v>MOD-000003</x:v>
      </x:c>
      <x:c r="C4" s="26" t="str">
        <x:v>Current Corolla Sedan</x:v>
      </x:c>
      <x:c r="D4" s="26" t="str"/>
      <x:c r="E4" s="26" t="str">
        <x:v>UNKNOWN</x:v>
      </x:c>
      <x:c r="F4" s="26"/>
      <x:c r="G4" s="26"/>
      <x:c r="H4" s="26"/>
      <x:c r="I4" s="26"/>
      <x:c r="J4" s="26" t="str">
        <x:v>PROVISIONAL</x:v>
      </x:c>
      <x:c r="K4" s="26" t="str">
        <x:v>PILOT-03</x:v>
      </x:c>
      <x:c r="L4" s="26" t="str">
        <x:v>Generation/facelift boundary to be resolved from Toyota documentation.</x:v>
      </x:c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GEN-000004</x:v>
      </x:c>
      <x:c r="B5" s="26" t="str">
        <x:v>MOD-000004</x:v>
      </x:c>
      <x:c r="C5" s="26" t="str">
        <x:v>Current Vitara</x:v>
      </x:c>
      <x:c r="D5" s="26" t="str"/>
      <x:c r="E5" s="26" t="str">
        <x:v>UNKNOWN</x:v>
      </x:c>
      <x:c r="F5" s="26"/>
      <x:c r="G5" s="26"/>
      <x:c r="H5" s="26"/>
      <x:c r="I5" s="26"/>
      <x:c r="J5" s="26" t="str">
        <x:v>PROVISIONAL</x:v>
      </x:c>
      <x:c r="K5" s="26" t="str">
        <x:v>PILOT-04</x:v>
      </x:c>
      <x:c r="L5" s="26" t="str">
        <x:v>Generation/facelift identity to be verified.</x:v>
      </x:c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GEN-000005</x:v>
      </x:c>
      <x:c r="B6" s="26" t="str">
        <x:v>MOD-000005</x:v>
      </x:c>
      <x:c r="C6" s="26" t="str">
        <x:v>Current SEAL U DM-i</x:v>
      </x:c>
      <x:c r="D6" s="26" t="str"/>
      <x:c r="E6" s="26" t="str">
        <x:v>UNKNOWN</x:v>
      </x:c>
      <x:c r="F6" s="26"/>
      <x:c r="G6" s="26"/>
      <x:c r="H6" s="26"/>
      <x:c r="I6" s="26"/>
      <x:c r="J6" s="26" t="str">
        <x:v>PROVISIONAL</x:v>
      </x:c>
      <x:c r="K6" s="26" t="str">
        <x:v>PILOT-05</x:v>
      </x:c>
      <x:c r="L6" s="26" t="str">
        <x:v>Generation identity provisional; market configuration is source-backed.</x:v>
      </x:c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GEN-000006</x:v>
      </x:c>
      <x:c r="B7" s="26" t="str">
        <x:v>MOD-000006</x:v>
      </x:c>
      <x:c r="C7" s="26" t="str">
        <x:v>Current EV3</x:v>
      </x:c>
      <x:c r="D7" s="26" t="str"/>
      <x:c r="E7" s="26" t="str">
        <x:v>UNKNOWN</x:v>
      </x:c>
      <x:c r="F7" s="26"/>
      <x:c r="G7" s="26"/>
      <x:c r="H7" s="26" t="n">
        <x:v>2026</x:v>
      </x:c>
      <x:c r="I7" s="26"/>
      <x:c r="J7" s="26" t="str">
        <x:v>PROVISIONAL</x:v>
      </x:c>
      <x:c r="K7" s="26" t="str">
        <x:v>PILOT-06</x:v>
      </x:c>
      <x:c r="L7" s="26" t="str">
        <x:v>Generation identity provisional.</x:v>
      </x:c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GEN-000007</x:v>
      </x:c>
      <x:c r="B8" s="26" t="str">
        <x:v>MOD-000007</x:v>
      </x:c>
      <x:c r="C8" s="26" t="str">
        <x:v>Current T10X</x:v>
      </x:c>
      <x:c r="D8" s="26" t="str"/>
      <x:c r="E8" s="26" t="str">
        <x:v>UNKNOWN</x:v>
      </x:c>
      <x:c r="F8" s="26"/>
      <x:c r="G8" s="26"/>
      <x:c r="H8" s="26"/>
      <x:c r="I8" s="26"/>
      <x:c r="J8" s="26" t="str">
        <x:v>PROVISIONAL</x:v>
      </x:c>
      <x:c r="K8" s="26" t="str">
        <x:v>PILOT-07</x:v>
      </x:c>
      <x:c r="L8" s="26" t="str">
        <x:v>Generation identity provisional.</x:v>
      </x:c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GEN-000008</x:v>
      </x:c>
      <x:c r="B9" s="26" t="str">
        <x:v>MOD-000008</x:v>
      </x:c>
      <x:c r="C9" s="26" t="str">
        <x:v>2026 New Sandero Stepway</x:v>
      </x:c>
      <x:c r="D9" s="26" t="str"/>
      <x:c r="E9" s="26" t="str">
        <x:v>UNKNOWN</x:v>
      </x:c>
      <x:c r="F9" s="26"/>
      <x:c r="G9" s="26"/>
      <x:c r="H9" s="26" t="n">
        <x:v>2026</x:v>
      </x:c>
      <x:c r="I9" s="26"/>
      <x:c r="J9" s="26" t="str">
        <x:v>PROVISIONAL</x:v>
      </x:c>
      <x:c r="K9" s="26" t="str">
        <x:v>PILOT-08</x:v>
      </x:c>
      <x:c r="L9" s="26" t="str">
        <x:v>Generation code to be verified; MY2026 sales presence is source-backed.</x:v>
      </x:c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2">
    <x:dataValidation type="list" sqref="E2:E500">
      <x:formula1>'12_LISTS'!$B$26:$B$30</x:formula1>
    </x:dataValidation>
    <x:dataValidation type="list" sqref="J2:J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fcd9d063ba43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20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20" hidden="0" customWidth="1"/>
    <x:col min="11" max="11" width="16" hidden="0" customWidth="1"/>
    <x:col min="12" max="12" width="14" hidden="0" customWidth="1"/>
    <x:col min="13" max="13" width="18" hidden="0" customWidth="1"/>
    <x:col min="14" max="14" width="18" hidden="0" customWidth="1"/>
    <x:col min="15" max="15" width="28" hidden="0" customWidth="1"/>
    <x:col min="16" max="16" width="36" hidden="0" customWidth="1"/>
  </x:cols>
  <x:sheetData>
    <x:row r="1">
      <x:c r="A1" s="6" t="str">
        <x:v>powertrain_id</x:v>
      </x:c>
      <x:c r="B1" s="6" t="str">
        <x:v>generation_id</x:v>
      </x:c>
      <x:c r="C1" s="6" t="str">
        <x:v>marketing_name</x:v>
      </x:c>
      <x:c r="D1" s="6" t="str">
        <x:v>fuel_type</x:v>
      </x:c>
      <x:c r="E1" s="6" t="str">
        <x:v>electrification_type</x:v>
      </x:c>
      <x:c r="F1" s="6" t="str">
        <x:v>engine_displacement_cc</x:v>
      </x:c>
      <x:c r="G1" s="6" t="str">
        <x:v>power_kw</x:v>
      </x:c>
      <x:c r="H1" s="6" t="str">
        <x:v>power_ps</x:v>
      </x:c>
      <x:c r="I1" s="6" t="str">
        <x:v>torque_nm</x:v>
      </x:c>
      <x:c r="J1" s="6" t="str">
        <x:v>transmission_type</x:v>
      </x:c>
      <x:c r="K1" s="6" t="str">
        <x:v>transmission_gears</x:v>
      </x:c>
      <x:c r="L1" s="6" t="str">
        <x:v>drivetrain</x:v>
      </x:c>
      <x:c r="M1" s="6" t="str">
        <x:v>battery_usable_kwh</x:v>
      </x:c>
      <x:c r="N1" s="6" t="str">
        <x:v>identity_status</x:v>
      </x:c>
      <x:c r="O1" s="6" t="str">
        <x:v>legacy_motor_text</x:v>
      </x:c>
      <x:c r="P1" s="6" t="str">
        <x:v>notes</x:v>
      </x:c>
    </x:row>
    <x:row r="2">
      <x:c r="A2" s="26" t="str">
        <x:v>PWR-000001</x:v>
      </x:c>
      <x:c r="B2" s="26" t="str">
        <x:v>GEN-000001</x:v>
      </x:c>
      <x:c r="C2" s="26" t="str">
        <x:v>TCe EDC 115 hp</x:v>
      </x:c>
      <x:c r="D2" s="26" t="str">
        <x:v>PETROL</x:v>
      </x:c>
      <x:c r="E2" s="26" t="str">
        <x:v>NONE</x:v>
      </x:c>
      <x:c r="F2" s="26" t="n">
        <x:v>1199</x:v>
      </x:c>
      <x:c r="G2" s="26" t="n">
        <x:v>85</x:v>
      </x:c>
      <x:c r="H2" s="26" t="n">
        <x:v>115</x:v>
      </x:c>
      <x:c r="I2" s="26" t="n">
        <x:v>190</x:v>
      </x:c>
      <x:c r="J2" s="26" t="str">
        <x:v>DCT</x:v>
      </x:c>
      <x:c r="K2" s="26" t="n">
        <x:v>6</x:v>
      </x:c>
      <x:c r="L2" s="26" t="str">
        <x:v>FWD</x:v>
      </x:c>
      <x:c r="M2" s="26"/>
      <x:c r="N2" s="26" t="str">
        <x:v>VERIFIED</x:v>
      </x:c>
      <x:c r="O2" s="26" t="str">
        <x:v>TCe EDC 115 hp</x:v>
      </x:c>
      <x:c r="P2" s="26" t="str">
        <x:v>Official Renault Türkiye technical page verifies engine, 6-speed DCT and FWD.</x:v>
      </x:c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PWR-000002</x:v>
      </x:c>
      <x:c r="B3" s="26" t="str">
        <x:v>GEN-000002</x:v>
      </x:c>
      <x:c r="C3" s="26" t="str">
        <x:v>1.6 M.Jet 130 HP Manual</x:v>
      </x:c>
      <x:c r="D3" s="26" t="str">
        <x:v>DIESEL</x:v>
      </x:c>
      <x:c r="E3" s="26" t="str">
        <x:v>NONE</x:v>
      </x:c>
      <x:c r="F3" s="26" t="n">
        <x:v>1598</x:v>
      </x:c>
      <x:c r="G3" s="26" t="n">
        <x:v>96</x:v>
      </x:c>
      <x:c r="H3" s="26" t="n">
        <x:v>130</x:v>
      </x:c>
      <x:c r="I3" s="26" t="n">
        <x:v>320</x:v>
      </x:c>
      <x:c r="J3" s="26" t="str">
        <x:v>MANUAL</x:v>
      </x:c>
      <x:c r="K3" s="26" t="n">
        <x:v>6</x:v>
      </x:c>
      <x:c r="L3" s="26" t="str">
        <x:v>FWD</x:v>
      </x:c>
      <x:c r="M3" s="26"/>
      <x:c r="N3" s="26" t="str">
        <x:v>VERIFIED</x:v>
      </x:c>
      <x:c r="O3" s="26" t="str">
        <x:v>1.6 M.Jet 130 HP</x:v>
      </x:c>
      <x:c r="P3" s="26" t="str">
        <x:v>Pilot closure: exact Easy configuration resolved to current 2026 6-speed manual diesel, avoiding unsupported trim+automatic linkage.</x:v>
      </x:c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PWR-000003</x:v>
      </x:c>
      <x:c r="B4" s="26" t="str">
        <x:v>GEN-000003</x:v>
      </x:c>
      <x:c r="C4" s="26" t="str">
        <x:v>1.8 Hybrid e-CVT</x:v>
      </x:c>
      <x:c r="D4" s="26" t="str">
        <x:v>PETROL</x:v>
      </x:c>
      <x:c r="E4" s="26" t="str">
        <x:v>HEV</x:v>
      </x:c>
      <x:c r="F4" s="26" t="n">
        <x:v>1798</x:v>
      </x:c>
      <x:c r="G4" s="26" t="n">
        <x:v>103</x:v>
      </x:c>
      <x:c r="H4" s="26" t="n">
        <x:v>140</x:v>
      </x:c>
      <x:c r="I4" s="26"/>
      <x:c r="J4" s="26" t="str">
        <x:v>E_CVT</x:v>
      </x:c>
      <x:c r="K4" s="26"/>
      <x:c r="L4" s="26" t="str">
        <x:v>FWD</x:v>
      </x:c>
      <x:c r="M4" s="26"/>
      <x:c r="N4" s="26" t="str">
        <x:v>VERIFIED</x:v>
      </x:c>
      <x:c r="O4" s="26" t="str">
        <x:v>1.8 Hybrid e-CVT</x:v>
      </x:c>
      <x:c r="P4" s="26" t="str">
        <x:v>Toyota Jan 2026 brochure verifies 140 HP / 103 kW hybrid system and e-CVT.</x:v>
      </x:c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PWR-000004</x:v>
      </x:c>
      <x:c r="B5" s="26" t="str">
        <x:v>GEN-000004</x:v>
      </x:c>
      <x:c r="C5" s="26" t="str">
        <x:v>1.4L Boosterjet 48V SHVS MHEV 6AT AllGrip</x:v>
      </x:c>
      <x:c r="D5" s="26" t="str">
        <x:v>PETROL</x:v>
      </x:c>
      <x:c r="E5" s="26" t="str">
        <x:v>MHEV</x:v>
      </x:c>
      <x:c r="F5" s="26" t="n">
        <x:v>1373</x:v>
      </x:c>
      <x:c r="G5" s="26"/>
      <x:c r="H5" s="26" t="n">
        <x:v>109</x:v>
      </x:c>
      <x:c r="I5" s="26" t="n">
        <x:v>235</x:v>
      </x:c>
      <x:c r="J5" s="26" t="str">
        <x:v>AUTOMATIC</x:v>
      </x:c>
      <x:c r="K5" s="26" t="n">
        <x:v>6</x:v>
      </x:c>
      <x:c r="L5" s="26" t="str">
        <x:v>4WD</x:v>
      </x:c>
      <x:c r="M5" s="26"/>
      <x:c r="N5" s="26" t="str">
        <x:v>VERIFIED</x:v>
      </x:c>
      <x:c r="O5" s="26" t="str">
        <x:v>1.4 MHEV 6AT AllGrip</x:v>
      </x:c>
      <x:c r="P5" s="26" t="str">
        <x:v>Suzuki Türkiye technical page verifies 109 PS, 235 Nm, 6AT and AllGrip 4x4.</x:v>
      </x:c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PWR-000005</x:v>
      </x:c>
      <x:c r="B6" s="26" t="str">
        <x:v>GEN-000005</x:v>
      </x:c>
      <x:c r="C6" s="26" t="str">
        <x:v>1.5L DM-i Design</x:v>
      </x:c>
      <x:c r="D6" s="26" t="str">
        <x:v>PETROL</x:v>
      </x:c>
      <x:c r="E6" s="26" t="str">
        <x:v>PHEV</x:v>
      </x:c>
      <x:c r="F6" s="26" t="n">
        <x:v>1498</x:v>
      </x:c>
      <x:c r="G6" s="26" t="n">
        <x:v>160</x:v>
      </x:c>
      <x:c r="H6" s="26" t="n">
        <x:v>218</x:v>
      </x:c>
      <x:c r="I6" s="26" t="n">
        <x:v>300</x:v>
      </x:c>
      <x:c r="J6" s="26" t="str">
        <x:v>E_CVT</x:v>
      </x:c>
      <x:c r="K6" s="26"/>
      <x:c r="L6" s="26" t="str">
        <x:v>FWD</x:v>
      </x:c>
      <x:c r="M6" s="26"/>
      <x:c r="N6" s="26" t="str">
        <x:v>VERIFIED</x:v>
      </x:c>
      <x:c r="O6" s="26" t="str">
        <x:v>1.5L Design</x:v>
      </x:c>
      <x:c r="P6" s="26" t="str">
        <x:v>BYD Türkiye Mar 2026 brochure. 18.3 kWh is published as battery capacity, not explicitly usable.</x:v>
      </x:c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PWR-000006</x:v>
      </x:c>
      <x:c r="B7" s="26" t="str">
        <x:v>GEN-000006</x:v>
      </x:c>
      <x:c r="C7" s="26" t="str">
        <x:v>Electric 58.3 kWh</x:v>
      </x:c>
      <x:c r="D7" s="26" t="str">
        <x:v>ELECTRIC</x:v>
      </x:c>
      <x:c r="E7" s="26" t="str">
        <x:v>BEV</x:v>
      </x:c>
      <x:c r="F7" s="26"/>
      <x:c r="G7" s="26" t="n">
        <x:v>150</x:v>
      </x:c>
      <x:c r="H7" s="26" t="n">
        <x:v>204</x:v>
      </x:c>
      <x:c r="I7" s="26" t="n">
        <x:v>283</x:v>
      </x:c>
      <x:c r="J7" s="26" t="str">
        <x:v>SINGLE_SPEED</x:v>
      </x:c>
      <x:c r="K7" s="26"/>
      <x:c r="L7" s="26" t="str">
        <x:v>FWD</x:v>
      </x:c>
      <x:c r="M7" s="26"/>
      <x:c r="N7" s="26" t="str">
        <x:v>VERIFIED</x:v>
      </x:c>
      <x:c r="O7" s="26" t="str">
        <x:v>Electric Prestige</x:v>
      </x:c>
      <x:c r="P7" s="26" t="str">
        <x:v>Kia Türkiye EV3 technical page verifies 150 kW / 204 PS / 283 Nm. Battery capacity is not labeled gross/usable.</x:v>
      </x:c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PWR-000007</x:v>
      </x:c>
      <x:c r="B8" s="26" t="str">
        <x:v>GEN-000007</x:v>
      </x:c>
      <x:c r="C8" s="26" t="str">
        <x:v>V2 RWD Uzun Menzil</x:v>
      </x:c>
      <x:c r="D8" s="26" t="str">
        <x:v>ELECTRIC</x:v>
      </x:c>
      <x:c r="E8" s="26" t="str">
        <x:v>BEV</x:v>
      </x:c>
      <x:c r="F8" s="26"/>
      <x:c r="G8" s="26" t="n">
        <x:v>160</x:v>
      </x:c>
      <x:c r="H8" s="26" t="n">
        <x:v>218</x:v>
      </x:c>
      <x:c r="I8" s="26"/>
      <x:c r="J8" s="26" t="str">
        <x:v>SINGLE_SPEED</x:v>
      </x:c>
      <x:c r="K8" s="26"/>
      <x:c r="L8" s="26" t="str">
        <x:v>RWD</x:v>
      </x:c>
      <x:c r="M8" s="26"/>
      <x:c r="N8" s="26" t="str">
        <x:v>VERIFIED</x:v>
      </x:c>
      <x:c r="O8" s="26" t="str">
        <x:v>RWD Long Range</x:v>
      </x:c>
      <x:c r="P8" s="26" t="str">
        <x:v>Current official Togg price list identifies V2 RWD Uzun Menzil; Media Center T10X V2 technical set is used for V2 evidence.</x:v>
      </x:c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PWR-000008</x:v>
      </x:c>
      <x:c r="B9" s="26" t="str">
        <x:v>GEN-000008</x:v>
      </x:c>
      <x:c r="C9" s="26" t="str">
        <x:v>Eco-G 120 auto</x:v>
      </x:c>
      <x:c r="D9" s="26" t="str">
        <x:v>LPG</x:v>
      </x:c>
      <x:c r="E9" s="26" t="str">
        <x:v>NONE</x:v>
      </x:c>
      <x:c r="F9" s="26" t="n">
        <x:v>1199</x:v>
      </x:c>
      <x:c r="G9" s="26"/>
      <x:c r="H9" s="26" t="n">
        <x:v>120</x:v>
      </x:c>
      <x:c r="I9" s="26" t="n">
        <x:v>197</x:v>
      </x:c>
      <x:c r="J9" s="26" t="str">
        <x:v>DCT</x:v>
      </x:c>
      <x:c r="K9" s="26" t="n">
        <x:v>6</x:v>
      </x:c>
      <x:c r="L9" s="26" t="str">
        <x:v>FWD</x:v>
      </x:c>
      <x:c r="M9" s="26"/>
      <x:c r="N9" s="26" t="str">
        <x:v>VERIFIED</x:v>
      </x:c>
      <x:c r="O9" s="26" t="str">
        <x:v>Eco-G 120 auto</x:v>
      </x:c>
      <x:c r="P9" s="26" t="str">
        <x:v>Dacia Türkiye verifies LPG+petrol, 6-speed EDC, 4x2, 1199 cc and 197 Nm.</x:v>
      </x:c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'12_LISTS'!$B$31:$B$37</x:formula1>
    </x:dataValidation>
    <x:dataValidation type="list" sqref="E2:E500">
      <x:formula1>'12_LISTS'!$B$38:$B$45</x:formula1>
    </x:dataValidation>
    <x:dataValidation type="list" sqref="J2:J500">
      <x:formula1>'12_LISTS'!$B$46:$B$53</x:formula1>
    </x:dataValidation>
    <x:dataValidation type="list" sqref="L2:L500">
      <x:formula1>'12_LISTS'!$B$54:$B$58</x:formula1>
    </x:dataValidation>
    <x:dataValidation type="list" sqref="N2:N500">
      <x:formula1>'12_LISTS'!$B$23:$B$25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086b65d1eb488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0" hidden="0" customWidth="1"/>
    <x:col min="5" max="5" width="12" hidden="0" customWidth="1"/>
    <x:col min="6" max="6" width="24" hidden="0" customWidth="1"/>
    <x:col min="7" max="7" width="32" hidden="0" customWidth="1"/>
    <x:col min="8" max="8" width="20" hidden="0" customWidth="1"/>
    <x:col min="9" max="9" width="16" hidden="0" customWidth="1"/>
    <x:col min="10" max="10" width="16" hidden="0" customWidth="1"/>
    <x:col min="11" max="11" width="20" hidden="0" customWidth="1"/>
    <x:col min="12" max="12" width="28" hidden="0" customWidth="1"/>
    <x:col min="13" max="13" width="22" hidden="0" customWidth="1"/>
    <x:col min="14" max="14" width="36" hidden="0" customWidth="1"/>
  </x:cols>
  <x:sheetData>
    <x:row r="1">
      <x:c r="A1" s="6" t="str">
        <x:v>configuration_id</x:v>
      </x:c>
      <x:c r="B1" s="6" t="str">
        <x:v>generation_id</x:v>
      </x:c>
      <x:c r="C1" s="6" t="str">
        <x:v>powertrain_id</x:v>
      </x:c>
      <x:c r="D1" s="6" t="str">
        <x:v>market</x:v>
      </x:c>
      <x:c r="E1" s="6" t="str">
        <x:v>model_year</x:v>
      </x:c>
      <x:c r="F1" s="6" t="str">
        <x:v>trim_name</x:v>
      </x:c>
      <x:c r="G1" s="6" t="str">
        <x:v>official_configuration_name</x:v>
      </x:c>
      <x:c r="H1" s="6" t="str">
        <x:v>availability_status</x:v>
      </x:c>
      <x:c r="I1" s="6" t="str">
        <x:v>availability_from</x:v>
      </x:c>
      <x:c r="J1" s="6" t="str">
        <x:v>availability_to</x:v>
      </x:c>
      <x:c r="K1" s="6" t="str">
        <x:v>configuration_status</x:v>
      </x:c>
      <x:c r="L1" s="6" t="str">
        <x:v>legacy_trim_text</x:v>
      </x:c>
      <x:c r="M1" s="6" t="str">
        <x:v>legacy_source_id</x:v>
      </x:c>
      <x:c r="N1" s="6" t="str">
        <x:v>notes</x:v>
      </x:c>
    </x:row>
    <x:row r="2">
      <x:c r="A2" s="26" t="str">
        <x:v>CFG-000001</x:v>
      </x:c>
      <x:c r="B2" s="26" t="str">
        <x:v>GEN-000001</x:v>
      </x:c>
      <x:c r="C2" s="26" t="str">
        <x:v>PWR-000001</x:v>
      </x:c>
      <x:c r="D2" s="26" t="str">
        <x:v>TR</x:v>
      </x:c>
      <x:c r="E2" s="26" t="n">
        <x:v>2026</x:v>
      </x:c>
      <x:c r="F2" s="26" t="str">
        <x:v>evolution plus</x:v>
      </x:c>
      <x:c r="G2" s="26" t="str">
        <x:v>Yeni Renault Clio evolution plus TCe EDC 115 hp</x:v>
      </x:c>
      <x:c r="H2" s="26" t="str">
        <x:v>CURRENT</x:v>
      </x:c>
      <x:c r="I2" s="36"/>
      <x:c r="J2" s="36"/>
      <x:c r="K2" s="26" t="str">
        <x:v>PROVISIONAL</x:v>
      </x:c>
      <x:c r="L2" s="26" t="str">
        <x:v>evolution plus</x:v>
      </x:c>
      <x:c r="M2" s="26" t="str">
        <x:v>PILOT-01</x:v>
      </x:c>
      <x:c r="N2" s="26" t="str">
        <x:v>Official Renault technical/configurator page. Downgraded: generation identity remains PROVISIONAL; re-verify before promotion.</x:v>
      </x:c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CFG-000002</x:v>
      </x:c>
      <x:c r="B3" s="26" t="str">
        <x:v>GEN-000002</x:v>
      </x:c>
      <x:c r="C3" s="26" t="str">
        <x:v>PWR-000002</x:v>
      </x:c>
      <x:c r="D3" s="26" t="str">
        <x:v>TR</x:v>
      </x:c>
      <x:c r="E3" s="26" t="n">
        <x:v>2026</x:v>
      </x:c>
      <x:c r="F3" s="26" t="str">
        <x:v>Easy</x:v>
      </x:c>
      <x:c r="G3" s="26" t="str">
        <x:v>Egea Sedan Easy 1.6 M.Jet 130 HP 6MT</x:v>
      </x:c>
      <x:c r="H3" s="26" t="str">
        <x:v>CURRENT</x:v>
      </x:c>
      <x:c r="I3" s="36"/>
      <x:c r="J3" s="36"/>
      <x:c r="K3" s="26" t="str">
        <x:v>PROVISIONAL</x:v>
      </x:c>
      <x:c r="L3" s="26" t="str">
        <x:v>Easy</x:v>
      </x:c>
      <x:c r="M3" s="26" t="str">
        <x:v>PILOT-02</x:v>
      </x:c>
      <x:c r="N3" s="26" t="str">
        <x:v>Resolved from current 2026 Fiat price list + official model technical page. Downgraded: generation identity remains PROVISIONAL; re-verify before promotion.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CFG-000003</x:v>
      </x:c>
      <x:c r="B4" s="26" t="str">
        <x:v>GEN-000003</x:v>
      </x:c>
      <x:c r="C4" s="26" t="str">
        <x:v>PWR-000003</x:v>
      </x:c>
      <x:c r="D4" s="26" t="str">
        <x:v>TR</x:v>
      </x:c>
      <x:c r="E4" s="26" t="n">
        <x:v>2026</x:v>
      </x:c>
      <x:c r="F4" s="26" t="str">
        <x:v>Dream</x:v>
      </x:c>
      <x:c r="G4" s="26" t="str">
        <x:v>Corolla 1.8 Hybrid Dream e-CVT</x:v>
      </x:c>
      <x:c r="H4" s="26" t="str">
        <x:v>CURRENT</x:v>
      </x:c>
      <x:c r="I4" s="36"/>
      <x:c r="J4" s="36"/>
      <x:c r="K4" s="26" t="str">
        <x:v>PROVISIONAL</x:v>
      </x:c>
      <x:c r="L4" s="26" t="str">
        <x:v>Dream</x:v>
      </x:c>
      <x:c r="M4" s="26" t="str">
        <x:v>PILOT-03</x:v>
      </x:c>
      <x:c r="N4" s="26" t="str">
        <x:v>Current official price list + Jan 2026 technical brochure. Downgraded: generation identity remains PROVISIONAL; re-verify before promotion.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CFG-000004</x:v>
      </x:c>
      <x:c r="B5" s="26" t="str">
        <x:v>GEN-000004</x:v>
      </x:c>
      <x:c r="C5" s="26" t="str">
        <x:v>PWR-000004</x:v>
      </x:c>
      <x:c r="D5" s="26" t="str">
        <x:v>TR</x:v>
      </x:c>
      <x:c r="E5" s="26" t="n">
        <x:v>2026</x:v>
      </x:c>
      <x:c r="F5" s="26" t="str">
        <x:v>GL Elegance</x:v>
      </x:c>
      <x:c r="G5" s="26" t="str">
        <x:v>Vitara 1.4 MHEV 6AT AllGrip 4x4 GL Elegance</x:v>
      </x:c>
      <x:c r="H5" s="26" t="str">
        <x:v>CURRENT</x:v>
      </x:c>
      <x:c r="I5" s="36"/>
      <x:c r="J5" s="36"/>
      <x:c r="K5" s="26" t="str">
        <x:v>PROVISIONAL</x:v>
      </x:c>
      <x:c r="L5" s="26" t="str">
        <x:v>GL Elegance</x:v>
      </x:c>
      <x:c r="M5" s="26" t="str">
        <x:v>PILOT-04</x:v>
      </x:c>
      <x:c r="N5" s="26" t="str">
        <x:v>Official Suzuki 2026 price list + technical page. Downgraded: generation identity remains PROVISIONAL; re-verify before promotion.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CFG-000005</x:v>
      </x:c>
      <x:c r="B6" s="26" t="str">
        <x:v>GEN-000005</x:v>
      </x:c>
      <x:c r="C6" s="26" t="str">
        <x:v>PWR-000005</x:v>
      </x:c>
      <x:c r="D6" s="26" t="str">
        <x:v>TR</x:v>
      </x:c>
      <x:c r="E6" s="26" t="n">
        <x:v>2026</x:v>
      </x:c>
      <x:c r="F6" s="26" t="str">
        <x:v>Design</x:v>
      </x:c>
      <x:c r="G6" s="26" t="str">
        <x:v>BYD SEAL U DM-i 1.5L Design</x:v>
      </x:c>
      <x:c r="H6" s="26" t="str">
        <x:v>CURRENT</x:v>
      </x:c>
      <x:c r="I6" s="36"/>
      <x:c r="J6" s="36"/>
      <x:c r="K6" s="26" t="str">
        <x:v>PROVISIONAL</x:v>
      </x:c>
      <x:c r="L6" s="26" t="str">
        <x:v>Design</x:v>
      </x:c>
      <x:c r="M6" s="26" t="str">
        <x:v>PILOT-05</x:v>
      </x:c>
      <x:c r="N6" s="26" t="str">
        <x:v>Official BYD Türkiye product page + Mar 2026 technical brochure. Downgraded: generation identity remains PROVISIONAL; re-verify before promotion.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CFG-000006</x:v>
      </x:c>
      <x:c r="B7" s="26" t="str">
        <x:v>GEN-000006</x:v>
      </x:c>
      <x:c r="C7" s="26" t="str">
        <x:v>PWR-000006</x:v>
      </x:c>
      <x:c r="D7" s="26" t="str">
        <x:v>TR</x:v>
      </x:c>
      <x:c r="E7" s="26" t="n">
        <x:v>2026</x:v>
      </x:c>
      <x:c r="F7" s="26" t="str">
        <x:v>Prestige</x:v>
      </x:c>
      <x:c r="G7" s="26" t="str">
        <x:v>Kia EV3 Electric Prestige</x:v>
      </x:c>
      <x:c r="H7" s="26" t="str">
        <x:v>CURRENT</x:v>
      </x:c>
      <x:c r="I7" s="36"/>
      <x:c r="J7" s="36"/>
      <x:c r="K7" s="26" t="str">
        <x:v>PROVISIONAL</x:v>
      </x:c>
      <x:c r="L7" s="26" t="str">
        <x:v>Prestige</x:v>
      </x:c>
      <x:c r="M7" s="26" t="str">
        <x:v>PILOT-06</x:v>
      </x:c>
      <x:c r="N7" s="26" t="str">
        <x:v>Official Kia Türkiye 2026 price list + EV3 technical page. Downgraded: generation identity remains PROVISIONAL; re-verify before promotion.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CFG-000007</x:v>
      </x:c>
      <x:c r="B8" s="26" t="str">
        <x:v>GEN-000007</x:v>
      </x:c>
      <x:c r="C8" s="26" t="str">
        <x:v>PWR-000007</x:v>
      </x:c>
      <x:c r="D8" s="26" t="str">
        <x:v>TR</x:v>
      </x:c>
      <x:c r="E8" s="26" t="n">
        <x:v>2026</x:v>
      </x:c>
      <x:c r="F8" s="26" t="str">
        <x:v>V2</x:v>
      </x:c>
      <x:c r="G8" s="26" t="str">
        <x:v>Togg T10X V2 RWD Uzun Menzil</x:v>
      </x:c>
      <x:c r="H8" s="26" t="str">
        <x:v>CURRENT</x:v>
      </x:c>
      <x:c r="I8" s="36"/>
      <x:c r="J8" s="36"/>
      <x:c r="K8" s="26" t="str">
        <x:v>PROVISIONAL</x:v>
      </x:c>
      <x:c r="L8" s="26" t="str">
        <x:v>V2 RWD Uzun Menzil</x:v>
      </x:c>
      <x:c r="M8" s="26" t="str">
        <x:v>PILOT-07</x:v>
      </x:c>
      <x:c r="N8" s="26" t="str">
        <x:v>Current official Togg price list effective 2026-06-15. Downgraded: generation identity remains PROVISIONAL; re-verify before promotion.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CFG-000008</x:v>
      </x:c>
      <x:c r="B9" s="26" t="str">
        <x:v>GEN-000008</x:v>
      </x:c>
      <x:c r="C9" s="26" t="str">
        <x:v>PWR-000008</x:v>
      </x:c>
      <x:c r="D9" s="26" t="str">
        <x:v>TR</x:v>
      </x:c>
      <x:c r="E9" s="26" t="n">
        <x:v>2026</x:v>
      </x:c>
      <x:c r="F9" s="26" t="str">
        <x:v>Expression</x:v>
      </x:c>
      <x:c r="G9" s="26" t="str">
        <x:v>Yeni Sandero Stepway Expression Eco-G 120 auto</x:v>
      </x:c>
      <x:c r="H9" s="26" t="str">
        <x:v>CURRENT</x:v>
      </x:c>
      <x:c r="I9" s="36"/>
      <x:c r="J9" s="36"/>
      <x:c r="K9" s="26" t="str">
        <x:v>PROVISIONAL</x:v>
      </x:c>
      <x:c r="L9" s="26" t="str">
        <x:v>Expression</x:v>
      </x:c>
      <x:c r="M9" s="26" t="str">
        <x:v>PILOT-08</x:v>
      </x:c>
      <x:c r="N9" s="26" t="str">
        <x:v>Official Dacia Türkiye version/configurator page. Downgraded: generation identity remains PROVISIONAL; re-verify before promotion.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36"/>
      <x:c r="J10" s="3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36"/>
      <x:c r="J11" s="3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36"/>
      <x:c r="J12" s="3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36"/>
      <x:c r="J13" s="3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36"/>
      <x:c r="J14" s="3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36"/>
      <x:c r="J15" s="3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36"/>
      <x:c r="J16" s="3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36"/>
      <x:c r="J17" s="3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36"/>
      <x:c r="J18" s="3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36"/>
      <x:c r="J19" s="3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36"/>
      <x:c r="J20" s="3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36"/>
      <x:c r="J21" s="3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36"/>
      <x:c r="J22" s="3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36"/>
      <x:c r="J23" s="3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36"/>
      <x:c r="J24" s="3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36"/>
      <x:c r="J25" s="3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36"/>
      <x:c r="J26" s="3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36"/>
      <x:c r="J27" s="3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36"/>
      <x:c r="J28" s="3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36"/>
      <x:c r="J29" s="3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36"/>
      <x:c r="J30" s="3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36"/>
      <x:c r="J31" s="3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36"/>
      <x:c r="J32" s="3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36"/>
      <x:c r="J33" s="3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36"/>
      <x:c r="J34" s="3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36"/>
      <x:c r="J35" s="3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36"/>
      <x:c r="J36" s="3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36"/>
      <x:c r="J37" s="3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36"/>
      <x:c r="J38" s="3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36"/>
      <x:c r="J39" s="3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36"/>
      <x:c r="J40" s="3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36"/>
      <x:c r="J41" s="3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36"/>
      <x:c r="J42" s="3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36"/>
      <x:c r="J43" s="3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36"/>
      <x:c r="J44" s="3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36"/>
      <x:c r="J45" s="3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36"/>
      <x:c r="J46" s="3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36"/>
      <x:c r="J47" s="3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36"/>
      <x:c r="J48" s="3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36"/>
      <x:c r="J49" s="3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36"/>
      <x:c r="J50" s="3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36"/>
      <x:c r="J51" s="3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36"/>
      <x:c r="J52" s="3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36"/>
      <x:c r="J53" s="3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36"/>
      <x:c r="J54" s="3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36"/>
      <x:c r="J55" s="3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36"/>
      <x:c r="J56" s="3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36"/>
      <x:c r="J57" s="3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36"/>
      <x:c r="J58" s="3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36"/>
      <x:c r="J59" s="3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36"/>
      <x:c r="J60" s="3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36"/>
      <x:c r="J61" s="3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36"/>
      <x:c r="J62" s="3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36"/>
      <x:c r="J63" s="3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36"/>
      <x:c r="J64" s="3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36"/>
      <x:c r="J65" s="3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36"/>
      <x:c r="J66" s="3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36"/>
      <x:c r="J67" s="3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36"/>
      <x:c r="J68" s="3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36"/>
      <x:c r="J69" s="3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36"/>
      <x:c r="J70" s="3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36"/>
      <x:c r="J71" s="3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36"/>
      <x:c r="J72" s="3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36"/>
      <x:c r="J73" s="3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36"/>
      <x:c r="J74" s="3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36"/>
      <x:c r="J75" s="3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36"/>
      <x:c r="J76" s="3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36"/>
      <x:c r="J77" s="3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36"/>
      <x:c r="J78" s="3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36"/>
      <x:c r="J79" s="3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36"/>
      <x:c r="J80" s="3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36"/>
      <x:c r="J81" s="3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36"/>
      <x:c r="J82" s="3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36"/>
      <x:c r="J83" s="3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36"/>
      <x:c r="J84" s="3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36"/>
      <x:c r="J85" s="3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36"/>
      <x:c r="J86" s="3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36"/>
      <x:c r="J87" s="3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36"/>
      <x:c r="J88" s="3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36"/>
      <x:c r="J89" s="3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36"/>
      <x:c r="J90" s="3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36"/>
      <x:c r="J91" s="3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36"/>
      <x:c r="J92" s="3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36"/>
      <x:c r="J93" s="3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36"/>
      <x:c r="J94" s="3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36"/>
      <x:c r="J95" s="3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36"/>
      <x:c r="J96" s="3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36"/>
      <x:c r="J97" s="3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36"/>
      <x:c r="J98" s="3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36"/>
      <x:c r="J99" s="3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36"/>
      <x:c r="J100" s="3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36"/>
      <x:c r="J101" s="3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36"/>
      <x:c r="J102" s="3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36"/>
      <x:c r="J103" s="3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36"/>
      <x:c r="J104" s="3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36"/>
      <x:c r="J105" s="3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36"/>
      <x:c r="J106" s="3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36"/>
      <x:c r="J107" s="3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36"/>
      <x:c r="J108" s="3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36"/>
      <x:c r="J109" s="3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36"/>
      <x:c r="J110" s="3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36"/>
      <x:c r="J111" s="3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36"/>
      <x:c r="J112" s="3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36"/>
      <x:c r="J113" s="3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36"/>
      <x:c r="J114" s="3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36"/>
      <x:c r="J115" s="3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36"/>
      <x:c r="J116" s="3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36"/>
      <x:c r="J117" s="3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36"/>
      <x:c r="J118" s="3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36"/>
      <x:c r="J119" s="3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36"/>
      <x:c r="J120" s="3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36"/>
      <x:c r="J121" s="3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36"/>
      <x:c r="J122" s="3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36"/>
      <x:c r="J123" s="3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36"/>
      <x:c r="J124" s="3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36"/>
      <x:c r="J125" s="3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36"/>
      <x:c r="J126" s="3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36"/>
      <x:c r="J127" s="3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36"/>
      <x:c r="J128" s="3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36"/>
      <x:c r="J129" s="3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36"/>
      <x:c r="J130" s="3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36"/>
      <x:c r="J131" s="3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36"/>
      <x:c r="J132" s="3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36"/>
      <x:c r="J133" s="3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36"/>
      <x:c r="J134" s="3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36"/>
      <x:c r="J135" s="3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36"/>
      <x:c r="J136" s="3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36"/>
      <x:c r="J137" s="3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36"/>
      <x:c r="J138" s="3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36"/>
      <x:c r="J139" s="3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36"/>
      <x:c r="J140" s="3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36"/>
      <x:c r="J141" s="3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36"/>
      <x:c r="J142" s="3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36"/>
      <x:c r="J143" s="3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36"/>
      <x:c r="J144" s="3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36"/>
      <x:c r="J145" s="3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36"/>
      <x:c r="J146" s="3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36"/>
      <x:c r="J147" s="3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36"/>
      <x:c r="J148" s="3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36"/>
      <x:c r="J149" s="3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36"/>
      <x:c r="J150" s="3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36"/>
      <x:c r="J151" s="3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36"/>
      <x:c r="J152" s="3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36"/>
      <x:c r="J153" s="3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36"/>
      <x:c r="J154" s="3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36"/>
      <x:c r="J155" s="3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36"/>
      <x:c r="J156" s="3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36"/>
      <x:c r="J157" s="3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36"/>
      <x:c r="J158" s="3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36"/>
      <x:c r="J159" s="3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36"/>
      <x:c r="J160" s="3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36"/>
      <x:c r="J161" s="3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36"/>
      <x:c r="J162" s="3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36"/>
      <x:c r="J163" s="3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36"/>
      <x:c r="J164" s="3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36"/>
      <x:c r="J165" s="3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36"/>
      <x:c r="J166" s="3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36"/>
      <x:c r="J167" s="3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36"/>
      <x:c r="J168" s="3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36"/>
      <x:c r="J169" s="3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36"/>
      <x:c r="J170" s="3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36"/>
      <x:c r="J171" s="3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36"/>
      <x:c r="J172" s="3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36"/>
      <x:c r="J173" s="3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36"/>
      <x:c r="J174" s="3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36"/>
      <x:c r="J175" s="3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36"/>
      <x:c r="J176" s="3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36"/>
      <x:c r="J177" s="3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36"/>
      <x:c r="J178" s="3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36"/>
      <x:c r="J179" s="3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36"/>
      <x:c r="J180" s="3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36"/>
      <x:c r="J181" s="3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36"/>
      <x:c r="J182" s="3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36"/>
      <x:c r="J183" s="3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36"/>
      <x:c r="J184" s="3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36"/>
      <x:c r="J185" s="3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36"/>
      <x:c r="J186" s="3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36"/>
      <x:c r="J187" s="3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36"/>
      <x:c r="J188" s="3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36"/>
      <x:c r="J189" s="3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36"/>
      <x:c r="J190" s="3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36"/>
      <x:c r="J191" s="3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36"/>
      <x:c r="J192" s="3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36"/>
      <x:c r="J193" s="3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36"/>
      <x:c r="J194" s="3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36"/>
      <x:c r="J195" s="3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36"/>
      <x:c r="J196" s="3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3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3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3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3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3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3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3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3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3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3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3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3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3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3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3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3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3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3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3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3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3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3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3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3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3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3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3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3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3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3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3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3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3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3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3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3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3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3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3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3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3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3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3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3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3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3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3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3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3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3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3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3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3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3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3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3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3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3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3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3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3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3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3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3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3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3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3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3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3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3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3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3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3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3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3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3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3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3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3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3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3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3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3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3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3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3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3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3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3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3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3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3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3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3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3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3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3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3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3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3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3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3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3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3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3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3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3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3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3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3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3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3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3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3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3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3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3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3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3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3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3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3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3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3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3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3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3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3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3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3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3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3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3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3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3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3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3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3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3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3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3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3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3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3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3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3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3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3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3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3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3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3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3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3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3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3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3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3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3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3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3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3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3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3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3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3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3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3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3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3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3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3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3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3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3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3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3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3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3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3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3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3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3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3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3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3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3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3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3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3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3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3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3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3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3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3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3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3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3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3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3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3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3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3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3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3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3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3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3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3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3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3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3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3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3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3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3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3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3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3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3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3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3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3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3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3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3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3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3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3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3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3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3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3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3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3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3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3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3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3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3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3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3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3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3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3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3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3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3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3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3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3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3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3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3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3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3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3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3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3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3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3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3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3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3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3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3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3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3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3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3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3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3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3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3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3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3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3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3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3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3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3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3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3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3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3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3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3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3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3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3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3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3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3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3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3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3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3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3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3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3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3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3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3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3">
    <x:dataValidation type="list" sqref="D2:D500">
      <x:formula1>'12_LISTS'!$B$59:$B$59</x:formula1>
    </x:dataValidation>
    <x:dataValidation type="list" sqref="H2:H500">
      <x:formula1>'12_LISTS'!$B$60:$B$65</x:formula1>
    </x:dataValidation>
    <x:dataValidation type="list" sqref="K2:K500">
      <x:formula1>'12_LISTS'!$B$66:$B$68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f323b5ba1c4d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  <x:col min="5" max="5" width="16" hidden="0" customWidth="1"/>
    <x:col min="6" max="6" width="18" hidden="0" customWidth="1"/>
    <x:col min="7" max="7" width="12" hidden="0" customWidth="1"/>
    <x:col min="8" max="8" width="20" hidden="0" customWidth="1"/>
    <x:col min="9" max="9" width="30" hidden="0" customWidth="1"/>
    <x:col min="10" max="10" width="18" hidden="0" customWidth="1"/>
    <x:col min="11" max="11" width="18" hidden="0" customWidth="1"/>
    <x:col min="12" max="12" width="10" hidden="0" customWidth="1"/>
    <x:col min="13" max="13" width="40" hidden="0" customWidth="1"/>
    <x:col min="14" max="14" width="14" hidden="0" customWidth="1"/>
    <x:col min="15" max="15" width="14" hidden="0" customWidth="1"/>
    <x:col min="16" max="16" width="26" hidden="0" customWidth="1"/>
    <x:col min="17" max="17" width="34" hidden="0" customWidth="1"/>
  </x:cols>
  <x:sheetData>
    <x:row r="1">
      <x:c r="A1" s="6" t="str">
        <x:v>fact_id</x:v>
      </x:c>
      <x:c r="B1" s="6" t="str">
        <x:v>subject_type</x:v>
      </x:c>
      <x:c r="C1" s="6" t="str">
        <x:v>subject_id</x:v>
      </x:c>
      <x:c r="D1" s="6" t="str">
        <x:v>fact_key</x:v>
      </x:c>
      <x:c r="E1" s="6" t="str">
        <x:v>value_type</x:v>
      </x:c>
      <x:c r="F1" s="6" t="str">
        <x:v>value</x:v>
      </x:c>
      <x:c r="G1" s="6" t="str">
        <x:v>unit</x:v>
      </x:c>
      <x:c r="H1" s="6" t="str">
        <x:v>evidence_state</x:v>
      </x:c>
      <x:c r="I1" s="6" t="str">
        <x:v>measurement_context</x:v>
      </x:c>
      <x:c r="J1" s="6" t="str">
        <x:v>valid_from_model_year</x:v>
      </x:c>
      <x:c r="K1" s="6" t="str">
        <x:v>valid_to_model_year</x:v>
      </x:c>
      <x:c r="L1" s="6" t="str">
        <x:v>market</x:v>
      </x:c>
      <x:c r="M1" s="6" t="str">
        <x:v>notes</x:v>
      </x:c>
      <x:c r="N1" s="54" t="str">
        <x:v>value_min</x:v>
      </x:c>
      <x:c r="O1" s="54" t="str">
        <x:v>value_max</x:v>
      </x:c>
      <x:c r="P1" s="54" t="str">
        <x:v>range_semantics</x:v>
      </x:c>
      <x:c r="Q1" s="54" t="str">
        <x:v>source_value_semantics</x:v>
      </x:c>
      <x:c r="R1" t="str">
        <x:v>source_value_raw</x:v>
      </x:c>
      <x:c r="S1" t="str">
        <x:v>soc_start_pct</x:v>
      </x:c>
      <x:c r="T1" t="str">
        <x:v>soc_end_pct</x:v>
      </x:c>
      <x:c r="U1" t="str">
        <x:v>charge_power_context_kw</x:v>
      </x:c>
    </x:row>
    <x:row r="2">
      <x:c r="A2" s="26" t="str">
        <x:v>FAC-000001</x:v>
      </x:c>
      <x:c r="B2" s="26" t="str">
        <x:v>CONFIGURATION</x:v>
      </x:c>
      <x:c r="C2" s="26" t="str">
        <x:v>CFG-000008</x:v>
      </x:c>
      <x:c r="D2" s="26" t="str">
        <x:v>cargo_volume_l</x:v>
      </x:c>
      <x:c r="E2" s="26" t="str">
        <x:v>NUMBER</x:v>
      </x:c>
      <x:c r="F2" s="26" t="n">
        <x:v>410</x:v>
      </x:c>
      <x:c r="G2" s="26" t="str">
        <x:v>L</x:v>
      </x:c>
      <x:c r="H2" s="26" t="str">
        <x:v>VERIFIED</x:v>
      </x:c>
      <x:c r="I2" s="26" t="str">
        <x:v>minimum bagaj hacmi; litre value; official page also reports 328 dm3 VDA</x:v>
      </x:c>
      <x:c r="J2" s="26" t="n">
        <x:v>2026</x:v>
      </x:c>
      <x:c r="K2" s="26" t="n">
        <x:v>2026</x:v>
      </x:c>
      <x:c r="L2" s="26" t="str">
        <x:v>TR</x:v>
      </x:c>
      <x:c r="M2" s="26" t="str">
        <x:v>Official Dacia Expression Eco-G 120 auto / dimensions source.</x:v>
      </x:c>
      <x:c r="N2" s="26"/>
      <x:c r="O2" s="26"/>
      <x:c r="P2" s="26" t="str">
        <x:v>NONE</x:v>
      </x:c>
      <x:c r="Q2" s="26" t="str">
        <x:v>EXACT_SCALAR</x:v>
      </x:c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FAC-000002</x:v>
      </x:c>
      <x:c r="B3" s="26" t="str">
        <x:v>POWERTRAIN</x:v>
      </x:c>
      <x:c r="C3" s="26" t="str">
        <x:v>PWR-000001</x:v>
      </x:c>
      <x:c r="D3" s="26" t="str">
        <x:v>torque_nm</x:v>
      </x:c>
      <x:c r="E3" s="26" t="str">
        <x:v>NUMBER</x:v>
      </x:c>
      <x:c r="F3" s="26" t="n">
        <x:v>190</x:v>
      </x:c>
      <x:c r="G3" s="26" t="str">
        <x:v>Nm</x:v>
      </x:c>
      <x:c r="H3" s="26" t="str">
        <x:v>VERIFIED</x:v>
      </x:c>
      <x:c r="I3" s="26" t="str">
        <x:v>TCe EDC 115</x:v>
      </x:c>
      <x:c r="J3" s="26" t="n">
        <x:v>2026</x:v>
      </x:c>
      <x:c r="K3" s="26" t="n">
        <x:v>2026</x:v>
      </x:c>
      <x:c r="L3" s="26" t="str">
        <x:v>TR</x:v>
      </x:c>
      <x:c r="M3" s="26"/>
      <x:c r="N3" s="26"/>
      <x:c r="O3" s="26"/>
      <x:c r="P3" s="26" t="str">
        <x:v>NONE</x:v>
      </x:c>
      <x:c r="Q3" s="26" t="str">
        <x:v>EXACT_SCALAR</x:v>
      </x:c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FAC-000003</x:v>
      </x:c>
      <x:c r="B4" s="26" t="str">
        <x:v>POWERTRAIN</x:v>
      </x:c>
      <x:c r="C4" s="26" t="str">
        <x:v>PWR-000001</x:v>
      </x:c>
      <x:c r="D4" s="26" t="str">
        <x:v>engine_displacement_cc</x:v>
      </x:c>
      <x:c r="E4" s="26" t="str">
        <x:v>NUMBER</x:v>
      </x:c>
      <x:c r="F4" s="26" t="n">
        <x:v>1199</x:v>
      </x:c>
      <x:c r="G4" s="26" t="str">
        <x:v>cc</x:v>
      </x:c>
      <x:c r="H4" s="26" t="str">
        <x:v>VERIFIED</x:v>
      </x:c>
      <x:c r="I4" s="26" t="str">
        <x:v>TCe EDC 115</x:v>
      </x:c>
      <x:c r="J4" s="26" t="n">
        <x:v>2026</x:v>
      </x:c>
      <x:c r="K4" s="26" t="n">
        <x:v>2026</x:v>
      </x:c>
      <x:c r="L4" s="26" t="str">
        <x:v>TR</x:v>
      </x:c>
      <x:c r="M4" s="26"/>
      <x:c r="N4" s="26"/>
      <x:c r="O4" s="26"/>
      <x:c r="P4" s="26" t="str">
        <x:v>NONE</x:v>
      </x:c>
      <x:c r="Q4" s="26" t="str">
        <x:v>EXACT_SCALAR</x:v>
      </x:c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FAC-000004</x:v>
      </x:c>
      <x:c r="B5" s="26" t="str">
        <x:v>GENERATION</x:v>
      </x:c>
      <x:c r="C5" s="26" t="str">
        <x:v>GEN-000001</x:v>
      </x:c>
      <x:c r="D5" s="26" t="str">
        <x:v>length_mm</x:v>
      </x:c>
      <x:c r="E5" s="26" t="str">
        <x:v>NUMBER</x:v>
      </x:c>
      <x:c r="F5" s="26" t="n">
        <x:v>4116</x:v>
      </x:c>
      <x:c r="G5" s="26" t="str">
        <x:v>mm</x:v>
      </x:c>
      <x:c r="H5" s="26" t="str">
        <x:v>VERIFIED</x:v>
      </x:c>
      <x:c r="I5" s="26"/>
      <x:c r="J5" s="26" t="n">
        <x:v>2026</x:v>
      </x:c>
      <x:c r="K5" s="26" t="n">
        <x:v>2026</x:v>
      </x:c>
      <x:c r="L5" s="26" t="str">
        <x:v>TR</x:v>
      </x:c>
      <x:c r="M5" s="26"/>
      <x:c r="N5" s="26"/>
      <x:c r="O5" s="26"/>
      <x:c r="P5" s="26" t="str">
        <x:v>NONE</x:v>
      </x:c>
      <x:c r="Q5" s="26" t="str">
        <x:v>EXACT_SCALAR</x:v>
      </x:c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FAC-000005</x:v>
      </x:c>
      <x:c r="B6" s="26" t="str">
        <x:v>GENERATION</x:v>
      </x:c>
      <x:c r="C6" s="26" t="str">
        <x:v>GEN-000001</x:v>
      </x:c>
      <x:c r="D6" s="26" t="str">
        <x:v>width_mm</x:v>
      </x:c>
      <x:c r="E6" s="26" t="str">
        <x:v>NUMBER</x:v>
      </x:c>
      <x:c r="F6" s="26" t="n">
        <x:v>1768</x:v>
      </x:c>
      <x:c r="G6" s="26" t="str">
        <x:v>mm</x:v>
      </x:c>
      <x:c r="H6" s="26" t="str">
        <x:v>VERIFIED</x:v>
      </x:c>
      <x:c r="I6" s="26" t="str">
        <x:v>mirrors excluded</x:v>
      </x:c>
      <x:c r="J6" s="26" t="n">
        <x:v>2026</x:v>
      </x:c>
      <x:c r="K6" s="26" t="n">
        <x:v>2026</x:v>
      </x:c>
      <x:c r="L6" s="26" t="str">
        <x:v>TR</x:v>
      </x:c>
      <x:c r="M6" s="26"/>
      <x:c r="N6" s="26"/>
      <x:c r="O6" s="26"/>
      <x:c r="P6" s="26" t="str">
        <x:v>NONE</x:v>
      </x:c>
      <x:c r="Q6" s="26" t="str">
        <x:v>EXACT_SCALAR</x:v>
      </x:c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FAC-000006</x:v>
      </x:c>
      <x:c r="B7" s="26" t="str">
        <x:v>GENERATION</x:v>
      </x:c>
      <x:c r="C7" s="26" t="str">
        <x:v>GEN-000001</x:v>
      </x:c>
      <x:c r="D7" s="26" t="str">
        <x:v>height_mm</x:v>
      </x:c>
      <x:c r="E7" s="26" t="str">
        <x:v>NUMBER</x:v>
      </x:c>
      <x:c r="F7" s="26" t="n">
        <x:v>1451</x:v>
      </x:c>
      <x:c r="G7" s="26" t="str">
        <x:v>mm</x:v>
      </x:c>
      <x:c r="H7" s="26" t="str">
        <x:v>VERIFIED</x:v>
      </x:c>
      <x:c r="I7" s="26"/>
      <x:c r="J7" s="26" t="n">
        <x:v>2026</x:v>
      </x:c>
      <x:c r="K7" s="26" t="n">
        <x:v>2026</x:v>
      </x:c>
      <x:c r="L7" s="26" t="str">
        <x:v>TR</x:v>
      </x:c>
      <x:c r="M7" s="26"/>
      <x:c r="N7" s="26"/>
      <x:c r="O7" s="26"/>
      <x:c r="P7" s="26" t="str">
        <x:v>NONE</x:v>
      </x:c>
      <x:c r="Q7" s="26" t="str">
        <x:v>EXACT_SCALAR</x:v>
      </x:c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FAC-000007</x:v>
      </x:c>
      <x:c r="B8" s="26" t="str">
        <x:v>GENERATION</x:v>
      </x:c>
      <x:c r="C8" s="26" t="str">
        <x:v>GEN-000001</x:v>
      </x:c>
      <x:c r="D8" s="26" t="str">
        <x:v>wheelbase_mm</x:v>
      </x:c>
      <x:c r="E8" s="26" t="str">
        <x:v>NUMBER</x:v>
      </x:c>
      <x:c r="F8" s="26" t="n">
        <x:v>2591</x:v>
      </x:c>
      <x:c r="G8" s="26" t="str">
        <x:v>mm</x:v>
      </x:c>
      <x:c r="H8" s="26" t="str">
        <x:v>VERIFIED</x:v>
      </x:c>
      <x:c r="I8" s="26"/>
      <x:c r="J8" s="26" t="n">
        <x:v>2026</x:v>
      </x:c>
      <x:c r="K8" s="26" t="n">
        <x:v>2026</x:v>
      </x:c>
      <x:c r="L8" s="26" t="str">
        <x:v>TR</x:v>
      </x:c>
      <x:c r="M8" s="26"/>
      <x:c r="N8" s="26"/>
      <x:c r="O8" s="26"/>
      <x:c r="P8" s="26" t="str">
        <x:v>NONE</x:v>
      </x:c>
      <x:c r="Q8" s="26" t="str">
        <x:v>EXACT_SCALAR</x:v>
      </x:c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FAC-000008</x:v>
      </x:c>
      <x:c r="B9" s="26" t="str">
        <x:v>GENERATION</x:v>
      </x:c>
      <x:c r="C9" s="26" t="str">
        <x:v>GEN-000001</x:v>
      </x:c>
      <x:c r="D9" s="26" t="str">
        <x:v>cargo_volume_l</x:v>
      </x:c>
      <x:c r="E9" s="26" t="str">
        <x:v>NUMBER</x:v>
      </x:c>
      <x:c r="F9" s="26" t="n">
        <x:v>391</x:v>
      </x:c>
      <x:c r="G9" s="26" t="str">
        <x:v>L</x:v>
      </x:c>
      <x:c r="H9" s="26" t="str">
        <x:v>VERIFIED</x:v>
      </x:c>
      <x:c r="I9" s="26" t="str">
        <x:v>seats up</x:v>
      </x:c>
      <x:c r="J9" s="26" t="n">
        <x:v>2026</x:v>
      </x:c>
      <x:c r="K9" s="26" t="n">
        <x:v>2026</x:v>
      </x:c>
      <x:c r="L9" s="26" t="str">
        <x:v>TR</x:v>
      </x:c>
      <x:c r="M9" s="26"/>
      <x:c r="N9" s="26"/>
      <x:c r="O9" s="26"/>
      <x:c r="P9" s="26" t="str">
        <x:v>NONE</x:v>
      </x:c>
      <x:c r="Q9" s="26" t="str">
        <x:v>EXACT_SCALAR</x:v>
      </x:c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FAC-000009</x:v>
      </x:c>
      <x:c r="B10" s="26" t="str">
        <x:v>CONFIGURATION</x:v>
      </x:c>
      <x:c r="C10" s="26" t="str">
        <x:v>CFG-000001</x:v>
      </x:c>
      <x:c r="D10" s="26" t="str">
        <x:v>seats</x:v>
      </x:c>
      <x:c r="E10" s="26" t="str">
        <x:v>NUMBER</x:v>
      </x:c>
      <x:c r="F10" s="26" t="n">
        <x:v>5</x:v>
      </x:c>
      <x:c r="G10" s="26" t="str">
        <x:v>count</x:v>
      </x:c>
      <x:c r="H10" s="26" t="str">
        <x:v>VERIFIED</x:v>
      </x:c>
      <x:c r="I10" s="26"/>
      <x:c r="J10" s="26" t="n">
        <x:v>2026</x:v>
      </x:c>
      <x:c r="K10" s="26" t="n">
        <x:v>2026</x:v>
      </x:c>
      <x:c r="L10" s="26" t="str">
        <x:v>TR</x:v>
      </x:c>
      <x:c r="M10" s="26"/>
      <x:c r="N10" s="26"/>
      <x:c r="O10" s="26"/>
      <x:c r="P10" s="26" t="str">
        <x:v>NONE</x:v>
      </x:c>
      <x:c r="Q10" s="26" t="str">
        <x:v>EXACT_SCALAR</x:v>
      </x:c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FAC-000010</x:v>
      </x:c>
      <x:c r="B11" s="26" t="str">
        <x:v>CONFIGURATION</x:v>
      </x:c>
      <x:c r="C11" s="26" t="str">
        <x:v>CFG-000001</x:v>
      </x:c>
      <x:c r="D11" s="26" t="str">
        <x:v>doors</x:v>
      </x:c>
      <x:c r="E11" s="26" t="str">
        <x:v>NUMBER</x:v>
      </x:c>
      <x:c r="F11" s="26" t="n">
        <x:v>5</x:v>
      </x:c>
      <x:c r="G11" s="26" t="str">
        <x:v>count</x:v>
      </x:c>
      <x:c r="H11" s="26" t="str">
        <x:v>VERIFIED</x:v>
      </x:c>
      <x:c r="I11" s="26"/>
      <x:c r="J11" s="26" t="n">
        <x:v>2026</x:v>
      </x:c>
      <x:c r="K11" s="26" t="n">
        <x:v>2026</x:v>
      </x:c>
      <x:c r="L11" s="26" t="str">
        <x:v>TR</x:v>
      </x:c>
      <x:c r="M11" s="26"/>
      <x:c r="N11" s="26"/>
      <x:c r="O11" s="26"/>
      <x:c r="P11" s="26" t="str">
        <x:v>NONE</x:v>
      </x:c>
      <x:c r="Q11" s="26" t="str">
        <x:v>EXACT_SCALAR</x:v>
      </x:c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FAC-000011</x:v>
      </x:c>
      <x:c r="B12" s="26" t="str">
        <x:v>CONFIGURATION</x:v>
      </x:c>
      <x:c r="C12" s="26" t="str">
        <x:v>CFG-000001</x:v>
      </x:c>
      <x:c r="D12" s="26" t="str">
        <x:v>turning_circle_m</x:v>
      </x:c>
      <x:c r="E12" s="26" t="str">
        <x:v>NUMBER</x:v>
      </x:c>
      <x:c r="F12" s="26" t="n">
        <x:v>10.4</x:v>
      </x:c>
      <x:c r="G12" s="26" t="str">
        <x:v>m</x:v>
      </x:c>
      <x:c r="H12" s="26" t="str">
        <x:v>VERIFIED</x:v>
      </x:c>
      <x:c r="I12" s="26" t="str">
        <x:v>official page labels turning diameter</x:v>
      </x:c>
      <x:c r="J12" s="26" t="n">
        <x:v>2026</x:v>
      </x:c>
      <x:c r="K12" s="26" t="n">
        <x:v>2026</x:v>
      </x:c>
      <x:c r="L12" s="26" t="str">
        <x:v>TR</x:v>
      </x:c>
      <x:c r="M12" s="26"/>
      <x:c r="N12" s="26"/>
      <x:c r="O12" s="26"/>
      <x:c r="P12" s="26" t="str">
        <x:v>NONE</x:v>
      </x:c>
      <x:c r="Q12" s="26" t="str">
        <x:v>EXACT_SCALAR</x:v>
      </x:c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FAC-000012</x:v>
      </x:c>
      <x:c r="B13" s="26" t="str">
        <x:v>POWERTRAIN</x:v>
      </x:c>
      <x:c r="C13" s="26" t="str">
        <x:v>PWR-000001</x:v>
      </x:c>
      <x:c r="D13" s="26" t="str">
        <x:v>official_fuel_consumption_combined</x:v>
      </x:c>
      <x:c r="E13" s="26" t="str">
        <x:v>TEXT</x:v>
      </x:c>
      <x:c r="F13" s="26" t="str">
        <x:v>5.0 / 5.1</x:v>
      </x:c>
      <x:c r="G13" s="26" t="str">
        <x:v>L/100km</x:v>
      </x:c>
      <x:c r="H13" s="26" t="str">
        <x:v>CONFLICTING</x:v>
      </x:c>
      <x:c r="I13" s="26" t="str">
        <x:v>Two combined WLTP values on same page</x:v>
      </x:c>
      <x:c r="J13" s="26" t="n">
        <x:v>2026</x:v>
      </x:c>
      <x:c r="K13" s="26" t="n">
        <x:v>2026</x:v>
      </x:c>
      <x:c r="L13" s="26" t="str">
        <x:v>TR</x:v>
      </x:c>
      <x:c r="M13" s="26" t="str">
        <x:v>Do not average.</x:v>
      </x:c>
      <x:c r="N13" s="26"/>
      <x:c r="O13" s="26"/>
      <x:c r="P13" s="26" t="str">
        <x:v>MULTIPLE_OFFICIAL_VALUES</x:v>
      </x:c>
      <x:c r="Q13" s="26" t="str">
        <x:v>OFFICIAL_VALUES_CONFLICT</x:v>
      </x:c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FAC-000013</x:v>
      </x:c>
      <x:c r="B14" s="26" t="str">
        <x:v>POWERTRAIN</x:v>
      </x:c>
      <x:c r="C14" s="26" t="str">
        <x:v>PWR-000002</x:v>
      </x:c>
      <x:c r="D14" s="26" t="str">
        <x:v>engine_displacement_cc</x:v>
      </x:c>
      <x:c r="E14" s="26" t="str">
        <x:v>NUMBER</x:v>
      </x:c>
      <x:c r="F14" s="26" t="n">
        <x:v>1598</x:v>
      </x:c>
      <x:c r="G14" s="26" t="str">
        <x:v>cc</x:v>
      </x:c>
      <x:c r="H14" s="26" t="str">
        <x:v>VERIFIED</x:v>
      </x:c>
      <x:c r="I14" s="26"/>
      <x:c r="J14" s="26" t="n">
        <x:v>2026</x:v>
      </x:c>
      <x:c r="K14" s="26" t="n">
        <x:v>2026</x:v>
      </x:c>
      <x:c r="L14" s="26" t="str">
        <x:v>TR</x:v>
      </x:c>
      <x:c r="M14" s="26"/>
      <x:c r="N14" s="26"/>
      <x:c r="O14" s="26"/>
      <x:c r="P14" s="26" t="str">
        <x:v>NONE</x:v>
      </x:c>
      <x:c r="Q14" s="26" t="str">
        <x:v>EXACT_SCALAR</x:v>
      </x:c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FAC-000014</x:v>
      </x:c>
      <x:c r="B15" s="26" t="str">
        <x:v>POWERTRAIN</x:v>
      </x:c>
      <x:c r="C15" s="26" t="str">
        <x:v>PWR-000002</x:v>
      </x:c>
      <x:c r="D15" s="26" t="str">
        <x:v>power_kw</x:v>
      </x:c>
      <x:c r="E15" s="26" t="str">
        <x:v>NUMBER</x:v>
      </x:c>
      <x:c r="F15" s="26" t="n">
        <x:v>96</x:v>
      </x:c>
      <x:c r="G15" s="26" t="str">
        <x:v>kW</x:v>
      </x:c>
      <x:c r="H15" s="26" t="str">
        <x:v>VERIFIED</x:v>
      </x:c>
      <x:c r="I15" s="26"/>
      <x:c r="J15" s="26" t="n">
        <x:v>2026</x:v>
      </x:c>
      <x:c r="K15" s="26" t="n">
        <x:v>2026</x:v>
      </x:c>
      <x:c r="L15" s="26" t="str">
        <x:v>TR</x:v>
      </x:c>
      <x:c r="M15" s="26"/>
      <x:c r="N15" s="26"/>
      <x:c r="O15" s="26"/>
      <x:c r="P15" s="26" t="str">
        <x:v>NONE</x:v>
      </x:c>
      <x:c r="Q15" s="26" t="str">
        <x:v>EXACT_SCALAR</x:v>
      </x:c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FAC-000015</x:v>
      </x:c>
      <x:c r="B16" s="26" t="str">
        <x:v>POWERTRAIN</x:v>
      </x:c>
      <x:c r="C16" s="26" t="str">
        <x:v>PWR-000002</x:v>
      </x:c>
      <x:c r="D16" s="26" t="str">
        <x:v>torque_nm</x:v>
      </x:c>
      <x:c r="E16" s="26" t="str">
        <x:v>NUMBER</x:v>
      </x:c>
      <x:c r="F16" s="26" t="n">
        <x:v>320</x:v>
      </x:c>
      <x:c r="G16" s="26" t="str">
        <x:v>Nm</x:v>
      </x:c>
      <x:c r="H16" s="26" t="str">
        <x:v>VERIFIED</x:v>
      </x:c>
      <x:c r="I16" s="26"/>
      <x:c r="J16" s="26" t="n">
        <x:v>2026</x:v>
      </x:c>
      <x:c r="K16" s="26" t="n">
        <x:v>2026</x:v>
      </x:c>
      <x:c r="L16" s="26" t="str">
        <x:v>TR</x:v>
      </x:c>
      <x:c r="M16" s="26"/>
      <x:c r="N16" s="26"/>
      <x:c r="O16" s="26"/>
      <x:c r="P16" s="26" t="str">
        <x:v>NONE</x:v>
      </x:c>
      <x:c r="Q16" s="26" t="str">
        <x:v>EXACT_SCALAR</x:v>
      </x:c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FAC-000016</x:v>
      </x:c>
      <x:c r="B17" s="26" t="str">
        <x:v>GENERATION</x:v>
      </x:c>
      <x:c r="C17" s="26" t="str">
        <x:v>GEN-000002</x:v>
      </x:c>
      <x:c r="D17" s="26" t="str">
        <x:v>length_mm</x:v>
      </x:c>
      <x:c r="E17" s="26" t="str">
        <x:v>NUMBER</x:v>
      </x:c>
      <x:c r="F17" s="26" t="n">
        <x:v>4532</x:v>
      </x:c>
      <x:c r="G17" s="26" t="str">
        <x:v>mm</x:v>
      </x:c>
      <x:c r="H17" s="26" t="str">
        <x:v>VERIFIED</x:v>
      </x:c>
      <x:c r="I17" s="26"/>
      <x:c r="J17" s="26" t="n">
        <x:v>2026</x:v>
      </x:c>
      <x:c r="K17" s="26" t="n">
        <x:v>2026</x:v>
      </x:c>
      <x:c r="L17" s="26" t="str">
        <x:v>TR</x:v>
      </x:c>
      <x:c r="M17" s="26"/>
      <x:c r="N17" s="26"/>
      <x:c r="O17" s="26"/>
      <x:c r="P17" s="26" t="str">
        <x:v>NONE</x:v>
      </x:c>
      <x:c r="Q17" s="26" t="str">
        <x:v>EXACT_SCALAR</x:v>
      </x:c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FAC-000017</x:v>
      </x:c>
      <x:c r="B18" s="26" t="str">
        <x:v>GENERATION</x:v>
      </x:c>
      <x:c r="C18" s="26" t="str">
        <x:v>GEN-000002</x:v>
      </x:c>
      <x:c r="D18" s="26" t="str">
        <x:v>width_mm</x:v>
      </x:c>
      <x:c r="E18" s="26" t="str">
        <x:v>NUMBER</x:v>
      </x:c>
      <x:c r="F18" s="26" t="n">
        <x:v>1792</x:v>
      </x:c>
      <x:c r="G18" s="26" t="str">
        <x:v>mm</x:v>
      </x:c>
      <x:c r="H18" s="26" t="str">
        <x:v>VERIFIED</x:v>
      </x:c>
      <x:c r="I18" s="26"/>
      <x:c r="J18" s="26" t="n">
        <x:v>2026</x:v>
      </x:c>
      <x:c r="K18" s="26" t="n">
        <x:v>2026</x:v>
      </x:c>
      <x:c r="L18" s="26" t="str">
        <x:v>TR</x:v>
      </x:c>
      <x:c r="M18" s="26"/>
      <x:c r="N18" s="26"/>
      <x:c r="O18" s="26"/>
      <x:c r="P18" s="26" t="str">
        <x:v>NONE</x:v>
      </x:c>
      <x:c r="Q18" s="26" t="str">
        <x:v>EXACT_SCALAR</x:v>
      </x:c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FAC-000018</x:v>
      </x:c>
      <x:c r="B19" s="26" t="str">
        <x:v>GENERATION</x:v>
      </x:c>
      <x:c r="C19" s="26" t="str">
        <x:v>GEN-000002</x:v>
      </x:c>
      <x:c r="D19" s="26" t="str">
        <x:v>height_mm</x:v>
      </x:c>
      <x:c r="E19" s="26" t="str">
        <x:v>NUMBER</x:v>
      </x:c>
      <x:c r="F19" s="26" t="n">
        <x:v>1497</x:v>
      </x:c>
      <x:c r="G19" s="26" t="str">
        <x:v>mm</x:v>
      </x:c>
      <x:c r="H19" s="26" t="str">
        <x:v>VERIFIED</x:v>
      </x:c>
      <x:c r="I19" s="26"/>
      <x:c r="J19" s="26" t="n">
        <x:v>2026</x:v>
      </x:c>
      <x:c r="K19" s="26" t="n">
        <x:v>2026</x:v>
      </x:c>
      <x:c r="L19" s="26" t="str">
        <x:v>TR</x:v>
      </x:c>
      <x:c r="M19" s="26"/>
      <x:c r="N19" s="26"/>
      <x:c r="O19" s="26"/>
      <x:c r="P19" s="26" t="str">
        <x:v>NONE</x:v>
      </x:c>
      <x:c r="Q19" s="26" t="str">
        <x:v>EXACT_SCALAR</x:v>
      </x:c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FAC-000019</x:v>
      </x:c>
      <x:c r="B20" s="26" t="str">
        <x:v>GENERATION</x:v>
      </x:c>
      <x:c r="C20" s="26" t="str">
        <x:v>GEN-000002</x:v>
      </x:c>
      <x:c r="D20" s="26" t="str">
        <x:v>cargo_volume_l</x:v>
      </x:c>
      <x:c r="E20" s="26" t="str">
        <x:v>NUMBER</x:v>
      </x:c>
      <x:c r="F20" s="26" t="n">
        <x:v>520</x:v>
      </x:c>
      <x:c r="G20" s="26" t="str">
        <x:v>L</x:v>
      </x:c>
      <x:c r="H20" s="26" t="str">
        <x:v>VERIFIED</x:v>
      </x:c>
      <x:c r="I20" s="26"/>
      <x:c r="J20" s="26" t="n">
        <x:v>2026</x:v>
      </x:c>
      <x:c r="K20" s="26" t="n">
        <x:v>2026</x:v>
      </x:c>
      <x:c r="L20" s="26" t="str">
        <x:v>TR</x:v>
      </x:c>
      <x:c r="M20" s="26"/>
      <x:c r="N20" s="26"/>
      <x:c r="O20" s="26"/>
      <x:c r="P20" s="26" t="str">
        <x:v>NONE</x:v>
      </x:c>
      <x:c r="Q20" s="26" t="str">
        <x:v>EXACT_SCALAR</x:v>
      </x:c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FAC-000020</x:v>
      </x:c>
      <x:c r="B21" s="26" t="str">
        <x:v>POWERTRAIN</x:v>
      </x:c>
      <x:c r="C21" s="26" t="str">
        <x:v>PWR-000003</x:v>
      </x:c>
      <x:c r="D21" s="26" t="str">
        <x:v>power_kw</x:v>
      </x:c>
      <x:c r="E21" s="26" t="str">
        <x:v>NUMBER</x:v>
      </x:c>
      <x:c r="F21" s="26" t="n">
        <x:v>103</x:v>
      </x:c>
      <x:c r="G21" s="26" t="str">
        <x:v>kW</x:v>
      </x:c>
      <x:c r="H21" s="26" t="str">
        <x:v>VERIFIED</x:v>
      </x:c>
      <x:c r="I21" s="26" t="str">
        <x:v>hybrid system maximum</x:v>
      </x:c>
      <x:c r="J21" s="26" t="n">
        <x:v>2026</x:v>
      </x:c>
      <x:c r="K21" s="26" t="n">
        <x:v>2026</x:v>
      </x:c>
      <x:c r="L21" s="26" t="str">
        <x:v>TR</x:v>
      </x:c>
      <x:c r="M21" s="26"/>
      <x:c r="N21" s="26"/>
      <x:c r="O21" s="26"/>
      <x:c r="P21" s="26" t="str">
        <x:v>NONE</x:v>
      </x:c>
      <x:c r="Q21" s="26" t="str">
        <x:v>EXACT_SCALAR</x:v>
      </x:c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FAC-000021</x:v>
      </x:c>
      <x:c r="B22" s="26" t="str">
        <x:v>POWERTRAIN</x:v>
      </x:c>
      <x:c r="C22" s="26" t="str">
        <x:v>PWR-000003</x:v>
      </x:c>
      <x:c r="D22" s="26" t="str">
        <x:v>engine_displacement_cc</x:v>
      </x:c>
      <x:c r="E22" s="26" t="str">
        <x:v>NUMBER</x:v>
      </x:c>
      <x:c r="F22" s="26" t="n">
        <x:v>1798</x:v>
      </x:c>
      <x:c r="G22" s="26" t="str">
        <x:v>cc</x:v>
      </x:c>
      <x:c r="H22" s="26" t="str">
        <x:v>VERIFIED</x:v>
      </x:c>
      <x:c r="I22" s="26"/>
      <x:c r="J22" s="26" t="n">
        <x:v>2026</x:v>
      </x:c>
      <x:c r="K22" s="26" t="n">
        <x:v>2026</x:v>
      </x:c>
      <x:c r="L22" s="26" t="str">
        <x:v>TR</x:v>
      </x:c>
      <x:c r="M22" s="26"/>
      <x:c r="N22" s="26"/>
      <x:c r="O22" s="26"/>
      <x:c r="P22" s="26" t="str">
        <x:v>NONE</x:v>
      </x:c>
      <x:c r="Q22" s="26" t="str">
        <x:v>EXACT_SCALAR</x:v>
      </x:c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FAC-000022</x:v>
      </x:c>
      <x:c r="B23" s="26" t="str">
        <x:v>GENERATION</x:v>
      </x:c>
      <x:c r="C23" s="26" t="str">
        <x:v>GEN-000003</x:v>
      </x:c>
      <x:c r="D23" s="26" t="str">
        <x:v>length_mm</x:v>
      </x:c>
      <x:c r="E23" s="26" t="str">
        <x:v>NUMBER</x:v>
      </x:c>
      <x:c r="F23" s="26" t="n">
        <x:v>4630</x:v>
      </x:c>
      <x:c r="G23" s="26" t="str">
        <x:v>mm</x:v>
      </x:c>
      <x:c r="H23" s="26" t="str">
        <x:v>VERIFIED</x:v>
      </x:c>
      <x:c r="I23" s="26"/>
      <x:c r="J23" s="26" t="n">
        <x:v>2026</x:v>
      </x:c>
      <x:c r="K23" s="26" t="n">
        <x:v>2026</x:v>
      </x:c>
      <x:c r="L23" s="26" t="str">
        <x:v>TR</x:v>
      </x:c>
      <x:c r="M23" s="26"/>
      <x:c r="N23" s="26"/>
      <x:c r="O23" s="26"/>
      <x:c r="P23" s="26" t="str">
        <x:v>NONE</x:v>
      </x:c>
      <x:c r="Q23" s="26" t="str">
        <x:v>EXACT_SCALAR</x:v>
      </x:c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FAC-000023</x:v>
      </x:c>
      <x:c r="B24" s="26" t="str">
        <x:v>GENERATION</x:v>
      </x:c>
      <x:c r="C24" s="26" t="str">
        <x:v>GEN-000003</x:v>
      </x:c>
      <x:c r="D24" s="26" t="str">
        <x:v>width_mm</x:v>
      </x:c>
      <x:c r="E24" s="26" t="str">
        <x:v>NUMBER</x:v>
      </x:c>
      <x:c r="F24" s="26" t="n">
        <x:v>1780</x:v>
      </x:c>
      <x:c r="G24" s="26" t="str">
        <x:v>mm</x:v>
      </x:c>
      <x:c r="H24" s="26" t="str">
        <x:v>VERIFIED</x:v>
      </x:c>
      <x:c r="I24" s="26"/>
      <x:c r="J24" s="26" t="n">
        <x:v>2026</x:v>
      </x:c>
      <x:c r="K24" s="26" t="n">
        <x:v>2026</x:v>
      </x:c>
      <x:c r="L24" s="26" t="str">
        <x:v>TR</x:v>
      </x:c>
      <x:c r="M24" s="26"/>
      <x:c r="N24" s="26"/>
      <x:c r="O24" s="26"/>
      <x:c r="P24" s="26" t="str">
        <x:v>NONE</x:v>
      </x:c>
      <x:c r="Q24" s="26" t="str">
        <x:v>EXACT_SCALAR</x:v>
      </x:c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FAC-000024</x:v>
      </x:c>
      <x:c r="B25" s="26" t="str">
        <x:v>GENERATION</x:v>
      </x:c>
      <x:c r="C25" s="26" t="str">
        <x:v>GEN-000003</x:v>
      </x:c>
      <x:c r="D25" s="26" t="str">
        <x:v>height_mm</x:v>
      </x:c>
      <x:c r="E25" s="26" t="str">
        <x:v>NUMBER</x:v>
      </x:c>
      <x:c r="F25" s="26" t="n">
        <x:v>1435</x:v>
      </x:c>
      <x:c r="G25" s="26" t="str">
        <x:v>mm</x:v>
      </x:c>
      <x:c r="H25" s="26" t="str">
        <x:v>VERIFIED</x:v>
      </x:c>
      <x:c r="I25" s="26"/>
      <x:c r="J25" s="26" t="n">
        <x:v>2026</x:v>
      </x:c>
      <x:c r="K25" s="26" t="n">
        <x:v>2026</x:v>
      </x:c>
      <x:c r="L25" s="26" t="str">
        <x:v>TR</x:v>
      </x:c>
      <x:c r="M25" s="26"/>
      <x:c r="N25" s="26"/>
      <x:c r="O25" s="26"/>
      <x:c r="P25" s="26" t="str">
        <x:v>NONE</x:v>
      </x:c>
      <x:c r="Q25" s="26" t="str">
        <x:v>EXACT_SCALAR</x:v>
      </x:c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FAC-000025</x:v>
      </x:c>
      <x:c r="B26" s="26" t="str">
        <x:v>GENERATION</x:v>
      </x:c>
      <x:c r="C26" s="26" t="str">
        <x:v>GEN-000003</x:v>
      </x:c>
      <x:c r="D26" s="26" t="str">
        <x:v>wheelbase_mm</x:v>
      </x:c>
      <x:c r="E26" s="26" t="str">
        <x:v>NUMBER</x:v>
      </x:c>
      <x:c r="F26" s="26" t="n">
        <x:v>2700</x:v>
      </x:c>
      <x:c r="G26" s="26" t="str">
        <x:v>mm</x:v>
      </x:c>
      <x:c r="H26" s="26" t="str">
        <x:v>VERIFIED</x:v>
      </x:c>
      <x:c r="I26" s="26"/>
      <x:c r="J26" s="26" t="n">
        <x:v>2026</x:v>
      </x:c>
      <x:c r="K26" s="26" t="n">
        <x:v>2026</x:v>
      </x:c>
      <x:c r="L26" s="26" t="str">
        <x:v>TR</x:v>
      </x:c>
      <x:c r="M26" s="26"/>
      <x:c r="N26" s="26"/>
      <x:c r="O26" s="26"/>
      <x:c r="P26" s="26" t="str">
        <x:v>NONE</x:v>
      </x:c>
      <x:c r="Q26" s="26" t="str">
        <x:v>EXACT_SCALAR</x:v>
      </x:c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FAC-000026</x:v>
      </x:c>
      <x:c r="B27" s="26" t="str">
        <x:v>GENERATION</x:v>
      </x:c>
      <x:c r="C27" s="26" t="str">
        <x:v>GEN-000003</x:v>
      </x:c>
      <x:c r="D27" s="26" t="str">
        <x:v>cargo_volume_l</x:v>
      </x:c>
      <x:c r="E27" s="26" t="str">
        <x:v>NUMBER</x:v>
      </x:c>
      <x:c r="F27" s="26" t="n">
        <x:v>471</x:v>
      </x:c>
      <x:c r="G27" s="26" t="str">
        <x:v>L</x:v>
      </x:c>
      <x:c r="H27" s="26" t="str">
        <x:v>VERIFIED</x:v>
      </x:c>
      <x:c r="I27" s="26"/>
      <x:c r="J27" s="26" t="n">
        <x:v>2026</x:v>
      </x:c>
      <x:c r="K27" s="26" t="n">
        <x:v>2026</x:v>
      </x:c>
      <x:c r="L27" s="26" t="str">
        <x:v>TR</x:v>
      </x:c>
      <x:c r="M27" s="26"/>
      <x:c r="N27" s="26"/>
      <x:c r="O27" s="26"/>
      <x:c r="P27" s="26" t="str">
        <x:v>NONE</x:v>
      </x:c>
      <x:c r="Q27" s="26" t="str">
        <x:v>EXACT_SCALAR</x:v>
      </x:c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FAC-000027</x:v>
      </x:c>
      <x:c r="B28" s="26" t="str">
        <x:v>POWERTRAIN</x:v>
      </x:c>
      <x:c r="C28" s="26" t="str">
        <x:v>PWR-000003</x:v>
      </x:c>
      <x:c r="D28" s="26" t="str">
        <x:v>fuel_tank_l</x:v>
      </x:c>
      <x:c r="E28" s="26" t="str">
        <x:v>NUMBER</x:v>
      </x:c>
      <x:c r="F28" s="26" t="n">
        <x:v>43</x:v>
      </x:c>
      <x:c r="G28" s="26" t="str">
        <x:v>L</x:v>
      </x:c>
      <x:c r="H28" s="26" t="str">
        <x:v>VERIFIED</x:v>
      </x:c>
      <x:c r="I28" s="26" t="str">
        <x:v>hybrid</x:v>
      </x:c>
      <x:c r="J28" s="26" t="n">
        <x:v>2026</x:v>
      </x:c>
      <x:c r="K28" s="26" t="n">
        <x:v>2026</x:v>
      </x:c>
      <x:c r="L28" s="26" t="str">
        <x:v>TR</x:v>
      </x:c>
      <x:c r="M28" s="26"/>
      <x:c r="N28" s="26"/>
      <x:c r="O28" s="26"/>
      <x:c r="P28" s="26" t="str">
        <x:v>NONE</x:v>
      </x:c>
      <x:c r="Q28" s="26" t="str">
        <x:v>EXACT_SCALAR</x:v>
      </x:c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FAC-000028</x:v>
      </x:c>
      <x:c r="B29" s="26" t="str">
        <x:v>POWERTRAIN</x:v>
      </x:c>
      <x:c r="C29" s="26" t="str">
        <x:v>PWR-000003</x:v>
      </x:c>
      <x:c r="D29" s="26" t="str">
        <x:v>official_fuel_consumption_combined</x:v>
      </x:c>
      <x:c r="E29" s="26" t="str">
        <x:v>NUMBER</x:v>
      </x:c>
      <x:c r="F29" s="26"/>
      <x:c r="G29" s="26" t="str">
        <x:v>L/100km</x:v>
      </x:c>
      <x:c r="H29" s="26" t="str">
        <x:v>VERIFIED</x:v>
      </x:c>
      <x:c r="I29" s="26" t="str">
        <x:v>WLTP combined, trim-dependent</x:v>
      </x:c>
      <x:c r="J29" s="26" t="n">
        <x:v>2026</x:v>
      </x:c>
      <x:c r="K29" s="26" t="n">
        <x:v>2026</x:v>
      </x:c>
      <x:c r="L29" s="26" t="str">
        <x:v>TR</x:v>
      </x:c>
      <x:c r="M29" s="26" t="str">
        <x:v>Pilot reveals need for native numeric range representation.</x:v>
      </x:c>
      <x:c r="N29" s="26" t="n">
        <x:v>4.5</x:v>
      </x:c>
      <x:c r="O29" s="26" t="n">
        <x:v>4.7</x:v>
      </x:c>
      <x:c r="P29" s="26" t="str">
        <x:v>MIN_MAX</x:v>
      </x:c>
      <x:c r="Q29" s="26" t="str">
        <x:v>EXACT_RANGE</x:v>
      </x:c>
      <x:c r="R29" s="26" t="str">
        <x:v>4.5–4.7</x:v>
      </x:c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FAC-000029</x:v>
      </x:c>
      <x:c r="B30" s="26" t="str">
        <x:v>POWERTRAIN</x:v>
      </x:c>
      <x:c r="C30" s="26" t="str">
        <x:v>PWR-000004</x:v>
      </x:c>
      <x:c r="D30" s="26" t="str">
        <x:v>engine_displacement_cc</x:v>
      </x:c>
      <x:c r="E30" s="26" t="str">
        <x:v>NUMBER</x:v>
      </x:c>
      <x:c r="F30" s="26" t="n">
        <x:v>1373</x:v>
      </x:c>
      <x:c r="G30" s="26" t="str">
        <x:v>cc</x:v>
      </x:c>
      <x:c r="H30" s="26" t="str">
        <x:v>VERIFIED</x:v>
      </x:c>
      <x:c r="I30" s="26"/>
      <x:c r="J30" s="26" t="n">
        <x:v>2026</x:v>
      </x:c>
      <x:c r="K30" s="26" t="n">
        <x:v>2026</x:v>
      </x:c>
      <x:c r="L30" s="26" t="str">
        <x:v>TR</x:v>
      </x:c>
      <x:c r="M30" s="26"/>
      <x:c r="N30" s="26"/>
      <x:c r="O30" s="26"/>
      <x:c r="P30" s="26" t="str">
        <x:v>NONE</x:v>
      </x:c>
      <x:c r="Q30" s="26" t="str">
        <x:v>EXACT_SCALAR</x:v>
      </x:c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FAC-000030</x:v>
      </x:c>
      <x:c r="B31" s="26" t="str">
        <x:v>POWERTRAIN</x:v>
      </x:c>
      <x:c r="C31" s="26" t="str">
        <x:v>PWR-000004</x:v>
      </x:c>
      <x:c r="D31" s="26" t="str">
        <x:v>torque_nm</x:v>
      </x:c>
      <x:c r="E31" s="26" t="str">
        <x:v>NUMBER</x:v>
      </x:c>
      <x:c r="F31" s="26" t="n">
        <x:v>235</x:v>
      </x:c>
      <x:c r="G31" s="26" t="str">
        <x:v>Nm</x:v>
      </x:c>
      <x:c r="H31" s="26" t="str">
        <x:v>VERIFIED</x:v>
      </x:c>
      <x:c r="I31" s="26"/>
      <x:c r="J31" s="26" t="n">
        <x:v>2026</x:v>
      </x:c>
      <x:c r="K31" s="26" t="n">
        <x:v>2026</x:v>
      </x:c>
      <x:c r="L31" s="26" t="str">
        <x:v>TR</x:v>
      </x:c>
      <x:c r="M31" s="26"/>
      <x:c r="N31" s="26"/>
      <x:c r="O31" s="26"/>
      <x:c r="P31" s="26" t="str">
        <x:v>NONE</x:v>
      </x:c>
      <x:c r="Q31" s="26" t="str">
        <x:v>EXACT_SCALAR</x:v>
      </x:c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FAC-000031</x:v>
      </x:c>
      <x:c r="B32" s="26" t="str">
        <x:v>GENERATION</x:v>
      </x:c>
      <x:c r="C32" s="26" t="str">
        <x:v>GEN-000004</x:v>
      </x:c>
      <x:c r="D32" s="26" t="str">
        <x:v>length_mm</x:v>
      </x:c>
      <x:c r="E32" s="26" t="str">
        <x:v>NUMBER</x:v>
      </x:c>
      <x:c r="F32" s="26" t="n">
        <x:v>4185</x:v>
      </x:c>
      <x:c r="G32" s="26" t="str">
        <x:v>mm</x:v>
      </x:c>
      <x:c r="H32" s="26" t="str">
        <x:v>VERIFIED</x:v>
      </x:c>
      <x:c r="I32" s="26"/>
      <x:c r="J32" s="26" t="n">
        <x:v>2026</x:v>
      </x:c>
      <x:c r="K32" s="26" t="n">
        <x:v>2026</x:v>
      </x:c>
      <x:c r="L32" s="26" t="str">
        <x:v>TR</x:v>
      </x:c>
      <x:c r="M32" s="26"/>
      <x:c r="N32" s="26"/>
      <x:c r="O32" s="26"/>
      <x:c r="P32" s="26" t="str">
        <x:v>NONE</x:v>
      </x:c>
      <x:c r="Q32" s="26" t="str">
        <x:v>EXACT_SCALAR</x:v>
      </x:c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FAC-000032</x:v>
      </x:c>
      <x:c r="B33" s="26" t="str">
        <x:v>GENERATION</x:v>
      </x:c>
      <x:c r="C33" s="26" t="str">
        <x:v>GEN-000004</x:v>
      </x:c>
      <x:c r="D33" s="26" t="str">
        <x:v>width_mm</x:v>
      </x:c>
      <x:c r="E33" s="26" t="str">
        <x:v>NUMBER</x:v>
      </x:c>
      <x:c r="F33" s="26" t="n">
        <x:v>1775</x:v>
      </x:c>
      <x:c r="G33" s="26" t="str">
        <x:v>mm</x:v>
      </x:c>
      <x:c r="H33" s="26" t="str">
        <x:v>VERIFIED</x:v>
      </x:c>
      <x:c r="I33" s="26"/>
      <x:c r="J33" s="26" t="n">
        <x:v>2026</x:v>
      </x:c>
      <x:c r="K33" s="26" t="n">
        <x:v>2026</x:v>
      </x:c>
      <x:c r="L33" s="26" t="str">
        <x:v>TR</x:v>
      </x:c>
      <x:c r="M33" s="26"/>
      <x:c r="N33" s="26"/>
      <x:c r="O33" s="26"/>
      <x:c r="P33" s="26" t="str">
        <x:v>NONE</x:v>
      </x:c>
      <x:c r="Q33" s="26" t="str">
        <x:v>EXACT_SCALAR</x:v>
      </x:c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FAC-000033</x:v>
      </x:c>
      <x:c r="B34" s="26" t="str">
        <x:v>GENERATION</x:v>
      </x:c>
      <x:c r="C34" s="26" t="str">
        <x:v>GEN-000004</x:v>
      </x:c>
      <x:c r="D34" s="26" t="str">
        <x:v>height_mm</x:v>
      </x:c>
      <x:c r="E34" s="26" t="str">
        <x:v>NUMBER</x:v>
      </x:c>
      <x:c r="F34" s="26" t="n">
        <x:v>1600</x:v>
      </x:c>
      <x:c r="G34" s="26" t="str">
        <x:v>mm</x:v>
      </x:c>
      <x:c r="H34" s="26" t="str">
        <x:v>VERIFIED</x:v>
      </x:c>
      <x:c r="I34" s="26"/>
      <x:c r="J34" s="26" t="n">
        <x:v>2026</x:v>
      </x:c>
      <x:c r="K34" s="26" t="n">
        <x:v>2026</x:v>
      </x:c>
      <x:c r="L34" s="26" t="str">
        <x:v>TR</x:v>
      </x:c>
      <x:c r="M34" s="26"/>
      <x:c r="N34" s="26"/>
      <x:c r="O34" s="26"/>
      <x:c r="P34" s="26" t="str">
        <x:v>NONE</x:v>
      </x:c>
      <x:c r="Q34" s="26" t="str">
        <x:v>EXACT_SCALAR</x:v>
      </x:c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FAC-000034</x:v>
      </x:c>
      <x:c r="B35" s="26" t="str">
        <x:v>GENERATION</x:v>
      </x:c>
      <x:c r="C35" s="26" t="str">
        <x:v>GEN-000004</x:v>
      </x:c>
      <x:c r="D35" s="26" t="str">
        <x:v>wheelbase_mm</x:v>
      </x:c>
      <x:c r="E35" s="26" t="str">
        <x:v>NUMBER</x:v>
      </x:c>
      <x:c r="F35" s="26" t="n">
        <x:v>2500</x:v>
      </x:c>
      <x:c r="G35" s="26" t="str">
        <x:v>mm</x:v>
      </x:c>
      <x:c r="H35" s="26" t="str">
        <x:v>VERIFIED</x:v>
      </x:c>
      <x:c r="I35" s="26"/>
      <x:c r="J35" s="26" t="n">
        <x:v>2026</x:v>
      </x:c>
      <x:c r="K35" s="26" t="n">
        <x:v>2026</x:v>
      </x:c>
      <x:c r="L35" s="26" t="str">
        <x:v>TR</x:v>
      </x:c>
      <x:c r="M35" s="26"/>
      <x:c r="N35" s="26"/>
      <x:c r="O35" s="26"/>
      <x:c r="P35" s="26" t="str">
        <x:v>NONE</x:v>
      </x:c>
      <x:c r="Q35" s="26" t="str">
        <x:v>EXACT_SCALAR</x:v>
      </x:c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FAC-000035</x:v>
      </x:c>
      <x:c r="B36" s="26" t="str">
        <x:v>CONFIGURATION</x:v>
      </x:c>
      <x:c r="C36" s="26" t="str">
        <x:v>CFG-000004</x:v>
      </x:c>
      <x:c r="D36" s="26" t="str">
        <x:v>ground_clearance_mm</x:v>
      </x:c>
      <x:c r="E36" s="26" t="str">
        <x:v>NUMBER</x:v>
      </x:c>
      <x:c r="F36" s="26" t="n">
        <x:v>175</x:v>
      </x:c>
      <x:c r="G36" s="26" t="str">
        <x:v>mm</x:v>
      </x:c>
      <x:c r="H36" s="26" t="str">
        <x:v>VERIFIED</x:v>
      </x:c>
      <x:c r="I36" s="26"/>
      <x:c r="J36" s="26" t="n">
        <x:v>2026</x:v>
      </x:c>
      <x:c r="K36" s="26" t="n">
        <x:v>2026</x:v>
      </x:c>
      <x:c r="L36" s="26" t="str">
        <x:v>TR</x:v>
      </x:c>
      <x:c r="M36" s="26"/>
      <x:c r="N36" s="26"/>
      <x:c r="O36" s="26"/>
      <x:c r="P36" s="26" t="str">
        <x:v>NONE</x:v>
      </x:c>
      <x:c r="Q36" s="26" t="str">
        <x:v>EXACT_SCALAR</x:v>
      </x:c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FAC-000036</x:v>
      </x:c>
      <x:c r="B37" s="26" t="str">
        <x:v>GENERATION</x:v>
      </x:c>
      <x:c r="C37" s="26" t="str">
        <x:v>GEN-000004</x:v>
      </x:c>
      <x:c r="D37" s="26" t="str">
        <x:v>cargo_volume_l</x:v>
      </x:c>
      <x:c r="E37" s="26" t="str">
        <x:v>NUMBER</x:v>
      </x:c>
      <x:c r="F37" s="26" t="n">
        <x:v>362</x:v>
      </x:c>
      <x:c r="G37" s="26" t="str">
        <x:v>L</x:v>
      </x:c>
      <x:c r="H37" s="26" t="str">
        <x:v>VERIFIED</x:v>
      </x:c>
      <x:c r="I37" s="26" t="str">
        <x:v>rear seats upright</x:v>
      </x:c>
      <x:c r="J37" s="26" t="n">
        <x:v>2026</x:v>
      </x:c>
      <x:c r="K37" s="26" t="n">
        <x:v>2026</x:v>
      </x:c>
      <x:c r="L37" s="26" t="str">
        <x:v>TR</x:v>
      </x:c>
      <x:c r="M37" s="26"/>
      <x:c r="N37" s="26"/>
      <x:c r="O37" s="26"/>
      <x:c r="P37" s="26" t="str">
        <x:v>NONE</x:v>
      </x:c>
      <x:c r="Q37" s="26" t="str">
        <x:v>EXACT_SCALAR</x:v>
      </x:c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FAC-000037</x:v>
      </x:c>
      <x:c r="B38" s="26" t="str">
        <x:v>GENERATION</x:v>
      </x:c>
      <x:c r="C38" s="26" t="str">
        <x:v>GEN-000004</x:v>
      </x:c>
      <x:c r="D38" s="26" t="str">
        <x:v>cargo_volume_max_l</x:v>
      </x:c>
      <x:c r="E38" s="26" t="str">
        <x:v>NUMBER</x:v>
      </x:c>
      <x:c r="F38" s="26" t="n">
        <x:v>1119</x:v>
      </x:c>
      <x:c r="G38" s="26" t="str">
        <x:v>L</x:v>
      </x:c>
      <x:c r="H38" s="26" t="str">
        <x:v>VERIFIED</x:v>
      </x:c>
      <x:c r="I38" s="26" t="str">
        <x:v>maximum capacity</x:v>
      </x:c>
      <x:c r="J38" s="26" t="n">
        <x:v>2026</x:v>
      </x:c>
      <x:c r="K38" s="26" t="n">
        <x:v>2026</x:v>
      </x:c>
      <x:c r="L38" s="26" t="str">
        <x:v>TR</x:v>
      </x:c>
      <x:c r="M38" s="26"/>
      <x:c r="N38" s="26"/>
      <x:c r="O38" s="26"/>
      <x:c r="P38" s="26" t="str">
        <x:v>NONE</x:v>
      </x:c>
      <x:c r="Q38" s="26" t="str">
        <x:v>EXACT_SCALAR</x:v>
      </x:c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FAC-000038</x:v>
      </x:c>
      <x:c r="B39" s="26" t="str">
        <x:v>POWERTRAIN</x:v>
      </x:c>
      <x:c r="C39" s="26" t="str">
        <x:v>PWR-000004</x:v>
      </x:c>
      <x:c r="D39" s="26" t="str">
        <x:v>fuel_tank_l</x:v>
      </x:c>
      <x:c r="E39" s="26" t="str">
        <x:v>NUMBER</x:v>
      </x:c>
      <x:c r="F39" s="26" t="n">
        <x:v>47</x:v>
      </x:c>
      <x:c r="G39" s="26" t="str">
        <x:v>L</x:v>
      </x:c>
      <x:c r="H39" s="26" t="str">
        <x:v>VERIFIED</x:v>
      </x:c>
      <x:c r="I39" s="26"/>
      <x:c r="J39" s="26" t="n">
        <x:v>2026</x:v>
      </x:c>
      <x:c r="K39" s="26" t="n">
        <x:v>2026</x:v>
      </x:c>
      <x:c r="L39" s="26" t="str">
        <x:v>TR</x:v>
      </x:c>
      <x:c r="M39" s="26"/>
      <x:c r="N39" s="26"/>
      <x:c r="O39" s="26"/>
      <x:c r="P39" s="26" t="str">
        <x:v>NONE</x:v>
      </x:c>
      <x:c r="Q39" s="26" t="str">
        <x:v>EXACT_SCALAR</x:v>
      </x:c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FAC-000039</x:v>
      </x:c>
      <x:c r="B40" s="26" t="str">
        <x:v>POWERTRAIN</x:v>
      </x:c>
      <x:c r="C40" s="26" t="str">
        <x:v>PWR-000004</x:v>
      </x:c>
      <x:c r="D40" s="26" t="str">
        <x:v>official_fuel_consumption_combined</x:v>
      </x:c>
      <x:c r="E40" s="26" t="str">
        <x:v>NUMBER</x:v>
      </x:c>
      <x:c r="F40" s="26" t="n">
        <x:v>5.8</x:v>
      </x:c>
      <x:c r="G40" s="26" t="str">
        <x:v>L/100km</x:v>
      </x:c>
      <x:c r="H40" s="26" t="str">
        <x:v>VERIFIED</x:v>
      </x:c>
      <x:c r="I40" s="26" t="str">
        <x:v>AllGrip 4x4 column</x:v>
      </x:c>
      <x:c r="J40" s="26" t="n">
        <x:v>2026</x:v>
      </x:c>
      <x:c r="K40" s="26" t="n">
        <x:v>2026</x:v>
      </x:c>
      <x:c r="L40" s="26" t="str">
        <x:v>TR</x:v>
      </x:c>
      <x:c r="M40" s="26"/>
      <x:c r="N40" s="26"/>
      <x:c r="O40" s="26"/>
      <x:c r="P40" s="26" t="str">
        <x:v>NONE</x:v>
      </x:c>
      <x:c r="Q40" s="26" t="str">
        <x:v>EXACT_SCALAR</x:v>
      </x:c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FAC-000040</x:v>
      </x:c>
      <x:c r="B41" s="26" t="str">
        <x:v>POWERTRAIN</x:v>
      </x:c>
      <x:c r="C41" s="26" t="str">
        <x:v>PWR-000005</x:v>
      </x:c>
      <x:c r="D41" s="26" t="str">
        <x:v>engine_displacement_cc</x:v>
      </x:c>
      <x:c r="E41" s="26" t="str">
        <x:v>NUMBER</x:v>
      </x:c>
      <x:c r="F41" s="26" t="n">
        <x:v>1498</x:v>
      </x:c>
      <x:c r="G41" s="26" t="str">
        <x:v>cc</x:v>
      </x:c>
      <x:c r="H41" s="26" t="str">
        <x:v>VERIFIED</x:v>
      </x:c>
      <x:c r="I41" s="26"/>
      <x:c r="J41" s="26" t="n">
        <x:v>2026</x:v>
      </x:c>
      <x:c r="K41" s="26" t="n">
        <x:v>2026</x:v>
      </x:c>
      <x:c r="L41" s="26" t="str">
        <x:v>TR</x:v>
      </x:c>
      <x:c r="M41" s="26"/>
      <x:c r="N41" s="26"/>
      <x:c r="O41" s="26"/>
      <x:c r="P41" s="26" t="str">
        <x:v>NONE</x:v>
      </x:c>
      <x:c r="Q41" s="26" t="str">
        <x:v>EXACT_SCALAR</x:v>
      </x:c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FAC-000041</x:v>
      </x:c>
      <x:c r="B42" s="26" t="str">
        <x:v>POWERTRAIN</x:v>
      </x:c>
      <x:c r="C42" s="26" t="str">
        <x:v>PWR-000005</x:v>
      </x:c>
      <x:c r="D42" s="26" t="str">
        <x:v>power_kw</x:v>
      </x:c>
      <x:c r="E42" s="26" t="str">
        <x:v>NUMBER</x:v>
      </x:c>
      <x:c r="F42" s="26" t="n">
        <x:v>160</x:v>
      </x:c>
      <x:c r="G42" s="26" t="str">
        <x:v>kW</x:v>
      </x:c>
      <x:c r="H42" s="26" t="str">
        <x:v>VERIFIED</x:v>
      </x:c>
      <x:c r="I42" s="26" t="str">
        <x:v>maximum system power</x:v>
      </x:c>
      <x:c r="J42" s="26" t="n">
        <x:v>2026</x:v>
      </x:c>
      <x:c r="K42" s="26" t="n">
        <x:v>2026</x:v>
      </x:c>
      <x:c r="L42" s="26" t="str">
        <x:v>TR</x:v>
      </x:c>
      <x:c r="M42" s="26"/>
      <x:c r="N42" s="26"/>
      <x:c r="O42" s="26"/>
      <x:c r="P42" s="26" t="str">
        <x:v>NONE</x:v>
      </x:c>
      <x:c r="Q42" s="26" t="str">
        <x:v>EXACT_SCALAR</x:v>
      </x:c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FAC-000042</x:v>
      </x:c>
      <x:c r="B43" s="26" t="str">
        <x:v>POWERTRAIN</x:v>
      </x:c>
      <x:c r="C43" s="26" t="str">
        <x:v>PWR-000005</x:v>
      </x:c>
      <x:c r="D43" s="26" t="str">
        <x:v>torque_nm</x:v>
      </x:c>
      <x:c r="E43" s="26" t="str">
        <x:v>NUMBER</x:v>
      </x:c>
      <x:c r="F43" s="26" t="n">
        <x:v>300</x:v>
      </x:c>
      <x:c r="G43" s="26" t="str">
        <x:v>Nm</x:v>
      </x:c>
      <x:c r="H43" s="26" t="str">
        <x:v>VERIFIED</x:v>
      </x:c>
      <x:c r="I43" s="26" t="str">
        <x:v>maximum system torque</x:v>
      </x:c>
      <x:c r="J43" s="26" t="n">
        <x:v>2026</x:v>
      </x:c>
      <x:c r="K43" s="26" t="n">
        <x:v>2026</x:v>
      </x:c>
      <x:c r="L43" s="26" t="str">
        <x:v>TR</x:v>
      </x:c>
      <x:c r="M43" s="26"/>
      <x:c r="N43" s="26"/>
      <x:c r="O43" s="26"/>
      <x:c r="P43" s="26" t="str">
        <x:v>NONE</x:v>
      </x:c>
      <x:c r="Q43" s="26" t="str">
        <x:v>EXACT_SCALAR</x:v>
      </x:c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FAC-000043</x:v>
      </x:c>
      <x:c r="B44" s="26" t="str">
        <x:v>POWERTRAIN</x:v>
      </x:c>
      <x:c r="C44" s="26" t="str">
        <x:v>PWR-000005</x:v>
      </x:c>
      <x:c r="D44" s="26" t="str">
        <x:v>official_energy_consumption_combined</x:v>
      </x:c>
      <x:c r="E44" s="26" t="str">
        <x:v>NUMBER</x:v>
      </x:c>
      <x:c r="F44" s="26" t="n">
        <x:v>16.9</x:v>
      </x:c>
      <x:c r="G44" s="26" t="str">
        <x:v>kWh/100km</x:v>
      </x:c>
      <x:c r="H44" s="26" t="str">
        <x:v>VERIFIED</x:v>
      </x:c>
      <x:c r="I44" s="26" t="str">
        <x:v>WLTP</x:v>
      </x:c>
      <x:c r="J44" s="26" t="n">
        <x:v>2026</x:v>
      </x:c>
      <x:c r="K44" s="26" t="n">
        <x:v>2026</x:v>
      </x:c>
      <x:c r="L44" s="26" t="str">
        <x:v>TR</x:v>
      </x:c>
      <x:c r="M44" s="26"/>
      <x:c r="N44" s="26"/>
      <x:c r="O44" s="26"/>
      <x:c r="P44" s="26" t="str">
        <x:v>NONE</x:v>
      </x:c>
      <x:c r="Q44" s="26" t="str">
        <x:v>EXACT_SCALAR</x:v>
      </x:c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FAC-000044</x:v>
      </x:c>
      <x:c r="B45" s="26" t="str">
        <x:v>POWERTRAIN</x:v>
      </x:c>
      <x:c r="C45" s="26" t="str">
        <x:v>PWR-000005</x:v>
      </x:c>
      <x:c r="D45" s="26" t="str">
        <x:v>official_fuel_consumption_combined</x:v>
      </x:c>
      <x:c r="E45" s="26" t="str">
        <x:v>NUMBER</x:v>
      </x:c>
      <x:c r="F45" s="26" t="n">
        <x:v>0.7</x:v>
      </x:c>
      <x:c r="G45" s="26" t="str">
        <x:v>L/100km</x:v>
      </x:c>
      <x:c r="H45" s="26" t="str">
        <x:v>VERIFIED</x:v>
      </x:c>
      <x:c r="I45" s="26" t="str">
        <x:v>WLTP weighted combined</x:v>
      </x:c>
      <x:c r="J45" s="26" t="n">
        <x:v>2026</x:v>
      </x:c>
      <x:c r="K45" s="26" t="n">
        <x:v>2026</x:v>
      </x:c>
      <x:c r="L45" s="26" t="str">
        <x:v>TR</x:v>
      </x:c>
      <x:c r="M45" s="26"/>
      <x:c r="N45" s="26"/>
      <x:c r="O45" s="26"/>
      <x:c r="P45" s="26" t="str">
        <x:v>NONE</x:v>
      </x:c>
      <x:c r="Q45" s="26" t="str">
        <x:v>EXACT_SCALAR</x:v>
      </x:c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FAC-000045</x:v>
      </x:c>
      <x:c r="B46" s="26" t="str">
        <x:v>GENERATION</x:v>
      </x:c>
      <x:c r="C46" s="26" t="str">
        <x:v>GEN-000005</x:v>
      </x:c>
      <x:c r="D46" s="26" t="str">
        <x:v>length_mm</x:v>
      </x:c>
      <x:c r="E46" s="26" t="str">
        <x:v>NUMBER</x:v>
      </x:c>
      <x:c r="F46" s="26" t="n">
        <x:v>4775</x:v>
      </x:c>
      <x:c r="G46" s="26" t="str">
        <x:v>mm</x:v>
      </x:c>
      <x:c r="H46" s="26" t="str">
        <x:v>VERIFIED</x:v>
      </x:c>
      <x:c r="I46" s="26"/>
      <x:c r="J46" s="26" t="n">
        <x:v>2026</x:v>
      </x:c>
      <x:c r="K46" s="26" t="n">
        <x:v>2026</x:v>
      </x:c>
      <x:c r="L46" s="26" t="str">
        <x:v>TR</x:v>
      </x:c>
      <x:c r="M46" s="26"/>
      <x:c r="N46" s="26"/>
      <x:c r="O46" s="26"/>
      <x:c r="P46" s="26" t="str">
        <x:v>NONE</x:v>
      </x:c>
      <x:c r="Q46" s="26" t="str">
        <x:v>EXACT_SCALAR</x:v>
      </x:c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FAC-000046</x:v>
      </x:c>
      <x:c r="B47" s="26" t="str">
        <x:v>GENERATION</x:v>
      </x:c>
      <x:c r="C47" s="26" t="str">
        <x:v>GEN-000005</x:v>
      </x:c>
      <x:c r="D47" s="26" t="str">
        <x:v>width_mm</x:v>
      </x:c>
      <x:c r="E47" s="26" t="str">
        <x:v>NUMBER</x:v>
      </x:c>
      <x:c r="F47" s="26" t="n">
        <x:v>1890</x:v>
      </x:c>
      <x:c r="G47" s="26" t="str">
        <x:v>mm</x:v>
      </x:c>
      <x:c r="H47" s="26" t="str">
        <x:v>VERIFIED</x:v>
      </x:c>
      <x:c r="I47" s="26"/>
      <x:c r="J47" s="26" t="n">
        <x:v>2026</x:v>
      </x:c>
      <x:c r="K47" s="26" t="n">
        <x:v>2026</x:v>
      </x:c>
      <x:c r="L47" s="26" t="str">
        <x:v>TR</x:v>
      </x:c>
      <x:c r="M47" s="26"/>
      <x:c r="N47" s="26"/>
      <x:c r="O47" s="26"/>
      <x:c r="P47" s="26" t="str">
        <x:v>NONE</x:v>
      </x:c>
      <x:c r="Q47" s="26" t="str">
        <x:v>EXACT_SCALAR</x:v>
      </x:c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FAC-000047</x:v>
      </x:c>
      <x:c r="B48" s="26" t="str">
        <x:v>GENERATION</x:v>
      </x:c>
      <x:c r="C48" s="26" t="str">
        <x:v>GEN-000005</x:v>
      </x:c>
      <x:c r="D48" s="26" t="str">
        <x:v>height_mm</x:v>
      </x:c>
      <x:c r="E48" s="26" t="str">
        <x:v>NUMBER</x:v>
      </x:c>
      <x:c r="F48" s="26" t="n">
        <x:v>1670</x:v>
      </x:c>
      <x:c r="G48" s="26" t="str">
        <x:v>mm</x:v>
      </x:c>
      <x:c r="H48" s="26" t="str">
        <x:v>VERIFIED</x:v>
      </x:c>
      <x:c r="I48" s="26"/>
      <x:c r="J48" s="26" t="n">
        <x:v>2026</x:v>
      </x:c>
      <x:c r="K48" s="26" t="n">
        <x:v>2026</x:v>
      </x:c>
      <x:c r="L48" s="26" t="str">
        <x:v>TR</x:v>
      </x:c>
      <x:c r="M48" s="26"/>
      <x:c r="N48" s="26"/>
      <x:c r="O48" s="26"/>
      <x:c r="P48" s="26" t="str">
        <x:v>NONE</x:v>
      </x:c>
      <x:c r="Q48" s="26" t="str">
        <x:v>EXACT_SCALAR</x:v>
      </x:c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FAC-000048</x:v>
      </x:c>
      <x:c r="B49" s="26" t="str">
        <x:v>GENERATION</x:v>
      </x:c>
      <x:c r="C49" s="26" t="str">
        <x:v>GEN-000005</x:v>
      </x:c>
      <x:c r="D49" s="26" t="str">
        <x:v>wheelbase_mm</x:v>
      </x:c>
      <x:c r="E49" s="26" t="str">
        <x:v>NUMBER</x:v>
      </x:c>
      <x:c r="F49" s="26" t="n">
        <x:v>2765</x:v>
      </x:c>
      <x:c r="G49" s="26" t="str">
        <x:v>mm</x:v>
      </x:c>
      <x:c r="H49" s="26" t="str">
        <x:v>VERIFIED</x:v>
      </x:c>
      <x:c r="I49" s="26"/>
      <x:c r="J49" s="26" t="n">
        <x:v>2026</x:v>
      </x:c>
      <x:c r="K49" s="26" t="n">
        <x:v>2026</x:v>
      </x:c>
      <x:c r="L49" s="26" t="str">
        <x:v>TR</x:v>
      </x:c>
      <x:c r="M49" s="26"/>
      <x:c r="N49" s="26"/>
      <x:c r="O49" s="26"/>
      <x:c r="P49" s="26" t="str">
        <x:v>NONE</x:v>
      </x:c>
      <x:c r="Q49" s="26" t="str">
        <x:v>EXACT_SCALAR</x:v>
      </x:c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FAC-000049</x:v>
      </x:c>
      <x:c r="B50" s="26" t="str">
        <x:v>CONFIGURATION</x:v>
      </x:c>
      <x:c r="C50" s="26" t="str">
        <x:v>CFG-000005</x:v>
      </x:c>
      <x:c r="D50" s="26" t="str">
        <x:v>cargo_volume_l</x:v>
      </x:c>
      <x:c r="E50" s="26" t="str">
        <x:v>NUMBER</x:v>
      </x:c>
      <x:c r="F50" s="26" t="n">
        <x:v>450</x:v>
      </x:c>
      <x:c r="G50" s="26" t="str">
        <x:v>L</x:v>
      </x:c>
      <x:c r="H50" s="26" t="str">
        <x:v>VERIFIED</x:v>
      </x:c>
      <x:c r="I50" s="26"/>
      <x:c r="J50" s="26" t="n">
        <x:v>2026</x:v>
      </x:c>
      <x:c r="K50" s="26" t="n">
        <x:v>2026</x:v>
      </x:c>
      <x:c r="L50" s="26" t="str">
        <x:v>TR</x:v>
      </x:c>
      <x:c r="M50" s="26"/>
      <x:c r="N50" s="26"/>
      <x:c r="O50" s="26"/>
      <x:c r="P50" s="26" t="str">
        <x:v>NONE</x:v>
      </x:c>
      <x:c r="Q50" s="26" t="str">
        <x:v>EXACT_SCALAR</x:v>
      </x:c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FAC-000050</x:v>
      </x:c>
      <x:c r="B51" s="26" t="str">
        <x:v>CONFIGURATION</x:v>
      </x:c>
      <x:c r="C51" s="26" t="str">
        <x:v>CFG-000005</x:v>
      </x:c>
      <x:c r="D51" s="26" t="str">
        <x:v>cargo_volume_max_l</x:v>
      </x:c>
      <x:c r="E51" s="26" t="str">
        <x:v>NUMBER</x:v>
      </x:c>
      <x:c r="F51" s="26" t="n">
        <x:v>1465</x:v>
      </x:c>
      <x:c r="G51" s="26" t="str">
        <x:v>L</x:v>
      </x:c>
      <x:c r="H51" s="26" t="str">
        <x:v>VERIFIED</x:v>
      </x:c>
      <x:c r="I51" s="26" t="str">
        <x:v>to roof, seats folded</x:v>
      </x:c>
      <x:c r="J51" s="26" t="n">
        <x:v>2026</x:v>
      </x:c>
      <x:c r="K51" s="26" t="n">
        <x:v>2026</x:v>
      </x:c>
      <x:c r="L51" s="26" t="str">
        <x:v>TR</x:v>
      </x:c>
      <x:c r="M51" s="26"/>
      <x:c r="N51" s="26"/>
      <x:c r="O51" s="26"/>
      <x:c r="P51" s="26" t="str">
        <x:v>NONE</x:v>
      </x:c>
      <x:c r="Q51" s="26" t="str">
        <x:v>EXACT_SCALAR</x:v>
      </x:c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FAC-000051</x:v>
      </x:c>
      <x:c r="B52" s="26" t="str">
        <x:v>CONFIGURATION</x:v>
      </x:c>
      <x:c r="C52" s="26" t="str">
        <x:v>CFG-000005</x:v>
      </x:c>
      <x:c r="D52" s="26" t="str">
        <x:v>turning_circle_m</x:v>
      </x:c>
      <x:c r="E52" s="26" t="str">
        <x:v>NUMBER</x:v>
      </x:c>
      <x:c r="F52" s="26" t="n">
        <x:v>11</x:v>
      </x:c>
      <x:c r="G52" s="26" t="str">
        <x:v>m</x:v>
      </x:c>
      <x:c r="H52" s="26" t="str">
        <x:v>VERIFIED</x:v>
      </x:c>
      <x:c r="I52" s="26" t="str">
        <x:v>minimum turning diameter</x:v>
      </x:c>
      <x:c r="J52" s="26" t="n">
        <x:v>2026</x:v>
      </x:c>
      <x:c r="K52" s="26" t="n">
        <x:v>2026</x:v>
      </x:c>
      <x:c r="L52" s="26" t="str">
        <x:v>TR</x:v>
      </x:c>
      <x:c r="M52" s="26"/>
      <x:c r="N52" s="26"/>
      <x:c r="O52" s="26"/>
      <x:c r="P52" s="26" t="str">
        <x:v>NONE</x:v>
      </x:c>
      <x:c r="Q52" s="26" t="str">
        <x:v>EXACT_SCALAR</x:v>
      </x:c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FAC-000052</x:v>
      </x:c>
      <x:c r="B53" s="26" t="str">
        <x:v>POWERTRAIN</x:v>
      </x:c>
      <x:c r="C53" s="26" t="str">
        <x:v>PWR-000005</x:v>
      </x:c>
      <x:c r="D53" s="26" t="str">
        <x:v>max_ac_charge_kw</x:v>
      </x:c>
      <x:c r="E53" s="26" t="str">
        <x:v>NUMBER</x:v>
      </x:c>
      <x:c r="F53" s="26" t="n">
        <x:v>11</x:v>
      </x:c>
      <x:c r="G53" s="26" t="str">
        <x:v>kW</x:v>
      </x:c>
      <x:c r="H53" s="26" t="str">
        <x:v>VERIFIED</x:v>
      </x:c>
      <x:c r="I53" s="26"/>
      <x:c r="J53" s="26" t="n">
        <x:v>2026</x:v>
      </x:c>
      <x:c r="K53" s="26" t="n">
        <x:v>2026</x:v>
      </x:c>
      <x:c r="L53" s="26" t="str">
        <x:v>TR</x:v>
      </x:c>
      <x:c r="M53" s="26"/>
      <x:c r="N53" s="26"/>
      <x:c r="O53" s="26"/>
      <x:c r="P53" s="26" t="str">
        <x:v>NONE</x:v>
      </x:c>
      <x:c r="Q53" s="26" t="str">
        <x:v>EXACT_SCALAR</x:v>
      </x:c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FAC-000053</x:v>
      </x:c>
      <x:c r="B54" s="26" t="str">
        <x:v>POWERTRAIN</x:v>
      </x:c>
      <x:c r="C54" s="26" t="str">
        <x:v>PWR-000005</x:v>
      </x:c>
      <x:c r="D54" s="26" t="str">
        <x:v>max_dc_charge_kw</x:v>
      </x:c>
      <x:c r="E54" s="26" t="str">
        <x:v>NUMBER</x:v>
      </x:c>
      <x:c r="F54" s="26" t="n">
        <x:v>18</x:v>
      </x:c>
      <x:c r="G54" s="26" t="str">
        <x:v>kW</x:v>
      </x:c>
      <x:c r="H54" s="26" t="str">
        <x:v>VERIFIED</x:v>
      </x:c>
      <x:c r="I54" s="26"/>
      <x:c r="J54" s="26" t="n">
        <x:v>2026</x:v>
      </x:c>
      <x:c r="K54" s="26" t="n">
        <x:v>2026</x:v>
      </x:c>
      <x:c r="L54" s="26" t="str">
        <x:v>TR</x:v>
      </x:c>
      <x:c r="M54" s="26"/>
      <x:c r="N54" s="26"/>
      <x:c r="O54" s="26"/>
      <x:c r="P54" s="26" t="str">
        <x:v>NONE</x:v>
      </x:c>
      <x:c r="Q54" s="26" t="str">
        <x:v>EXACT_SCALAR</x:v>
      </x:c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FAC-000054</x:v>
      </x:c>
      <x:c r="B55" s="26" t="str">
        <x:v>POWERTRAIN</x:v>
      </x:c>
      <x:c r="C55" s="26" t="str">
        <x:v>PWR-000005</x:v>
      </x:c>
      <x:c r="D55" s="26" t="str">
        <x:v>battery_capacity_reported_kwh</x:v>
      </x:c>
      <x:c r="E55" s="26" t="str">
        <x:v>NUMBER</x:v>
      </x:c>
      <x:c r="F55" s="26" t="n">
        <x:v>18.3</x:v>
      </x:c>
      <x:c r="G55" s="26" t="str">
        <x:v>kWh</x:v>
      </x:c>
      <x:c r="H55" s="26" t="str">
        <x:v>VERIFIED</x:v>
      </x:c>
      <x:c r="I55" s="26" t="str">
        <x:v>gross/usable unspecified</x:v>
      </x:c>
      <x:c r="J55" s="26" t="n">
        <x:v>2026</x:v>
      </x:c>
      <x:c r="K55" s="26" t="n">
        <x:v>2026</x:v>
      </x:c>
      <x:c r="L55" s="26" t="str">
        <x:v>TR</x:v>
      </x:c>
      <x:c r="M55" s="26" t="str">
        <x:v>Do not map to usable/gross without explicit semantics.</x:v>
      </x:c>
      <x:c r="N55" s="26"/>
      <x:c r="O55" s="26"/>
      <x:c r="P55" s="26" t="str">
        <x:v>NONE</x:v>
      </x:c>
      <x:c r="Q55" s="26" t="str">
        <x:v>BATTERY_CAPACITY_UNQUALIFIED</x:v>
      </x:c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FAC-000055</x:v>
      </x:c>
      <x:c r="B56" s="26" t="str">
        <x:v>POWERTRAIN</x:v>
      </x:c>
      <x:c r="C56" s="26" t="str">
        <x:v>PWR-000005</x:v>
      </x:c>
      <x:c r="D56" s="26" t="str">
        <x:v>dc_charge_time_min</x:v>
      </x:c>
      <x:c r="E56" s="26" t="str">
        <x:v>NUMBER</x:v>
      </x:c>
      <x:c r="F56" s="26" t="n">
        <x:v>35</x:v>
      </x:c>
      <x:c r="G56" s="26" t="str">
        <x:v>min</x:v>
      </x:c>
      <x:c r="H56" s="26" t="str">
        <x:v>VERIFIED</x:v>
      </x:c>
      <x:c r="I56" s="26" t="str">
        <x:v>SOC 30–80%; 18 kW DC</x:v>
      </x:c>
      <x:c r="J56" s="26" t="n">
        <x:v>2026</x:v>
      </x:c>
      <x:c r="K56" s="26" t="n">
        <x:v>2026</x:v>
      </x:c>
      <x:c r="L56" s="26" t="str">
        <x:v>TR</x:v>
      </x:c>
      <x:c r="M56" s="26"/>
      <x:c r="N56" s="26"/>
      <x:c r="O56" s="26"/>
      <x:c r="P56" s="26" t="str">
        <x:v>NONE</x:v>
      </x:c>
      <x:c r="Q56" s="26" t="str">
        <x:v>CHARGE_TIME_WITH_SOC_CONTEXT</x:v>
      </x:c>
      <x:c r="R56" s="26"/>
      <x:c r="S56" s="26" t="n">
        <x:v>30</x:v>
      </x:c>
      <x:c r="T56" s="26" t="n">
        <x:v>80</x:v>
      </x:c>
      <x:c r="U56" s="26" t="n">
        <x:v>18</x:v>
      </x:c>
      <x:c r="V56" s="26"/>
      <x:c r="W56" s="26"/>
      <x:c r="X56" s="26"/>
      <x:c r="Y56" s="26"/>
      <x:c r="Z56" s="26"/>
    </x:row>
    <x:row r="57">
      <x:c r="A57" s="26" t="str">
        <x:v>FAC-000056</x:v>
      </x:c>
      <x:c r="B57" s="26" t="str">
        <x:v>POWERTRAIN</x:v>
      </x:c>
      <x:c r="C57" s="26" t="str">
        <x:v>PWR-000006</x:v>
      </x:c>
      <x:c r="D57" s="26" t="str">
        <x:v>power_kw</x:v>
      </x:c>
      <x:c r="E57" s="26" t="str">
        <x:v>NUMBER</x:v>
      </x:c>
      <x:c r="F57" s="26" t="n">
        <x:v>150</x:v>
      </x:c>
      <x:c r="G57" s="26" t="str">
        <x:v>kW</x:v>
      </x:c>
      <x:c r="H57" s="26" t="str">
        <x:v>VERIFIED</x:v>
      </x:c>
      <x:c r="I57" s="26"/>
      <x:c r="J57" s="26" t="n">
        <x:v>2026</x:v>
      </x:c>
      <x:c r="K57" s="26" t="n">
        <x:v>2026</x:v>
      </x:c>
      <x:c r="L57" s="26" t="str">
        <x:v>TR</x:v>
      </x:c>
      <x:c r="M57" s="26"/>
      <x:c r="N57" s="26"/>
      <x:c r="O57" s="26"/>
      <x:c r="P57" s="26" t="str">
        <x:v>NONE</x:v>
      </x:c>
      <x:c r="Q57" s="26" t="str">
        <x:v>EXACT_SCALAR</x:v>
      </x:c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FAC-000057</x:v>
      </x:c>
      <x:c r="B58" s="26" t="str">
        <x:v>POWERTRAIN</x:v>
      </x:c>
      <x:c r="C58" s="26" t="str">
        <x:v>PWR-000006</x:v>
      </x:c>
      <x:c r="D58" s="26" t="str">
        <x:v>torque_nm</x:v>
      </x:c>
      <x:c r="E58" s="26" t="str">
        <x:v>NUMBER</x:v>
      </x:c>
      <x:c r="F58" s="26" t="n">
        <x:v>283</x:v>
      </x:c>
      <x:c r="G58" s="26" t="str">
        <x:v>Nm</x:v>
      </x:c>
      <x:c r="H58" s="26" t="str">
        <x:v>VERIFIED</x:v>
      </x:c>
      <x:c r="I58" s="26"/>
      <x:c r="J58" s="26" t="n">
        <x:v>2026</x:v>
      </x:c>
      <x:c r="K58" s="26" t="n">
        <x:v>2026</x:v>
      </x:c>
      <x:c r="L58" s="26" t="str">
        <x:v>TR</x:v>
      </x:c>
      <x:c r="M58" s="26"/>
      <x:c r="N58" s="26"/>
      <x:c r="O58" s="26"/>
      <x:c r="P58" s="26" t="str">
        <x:v>NONE</x:v>
      </x:c>
      <x:c r="Q58" s="26" t="str">
        <x:v>EXACT_SCALAR</x:v>
      </x:c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FAC-000058</x:v>
      </x:c>
      <x:c r="B59" s="26" t="str">
        <x:v>GENERATION</x:v>
      </x:c>
      <x:c r="C59" s="26" t="str">
        <x:v>GEN-000006</x:v>
      </x:c>
      <x:c r="D59" s="26" t="str">
        <x:v>length_mm</x:v>
      </x:c>
      <x:c r="E59" s="26" t="str">
        <x:v>NUMBER</x:v>
      </x:c>
      <x:c r="F59" s="26" t="n">
        <x:v>4300</x:v>
      </x:c>
      <x:c r="G59" s="26" t="str">
        <x:v>mm</x:v>
      </x:c>
      <x:c r="H59" s="26" t="str">
        <x:v>VERIFIED</x:v>
      </x:c>
      <x:c r="I59" s="26" t="str">
        <x:v>Prestige group</x:v>
      </x:c>
      <x:c r="J59" s="26" t="n">
        <x:v>2026</x:v>
      </x:c>
      <x:c r="K59" s="26" t="n">
        <x:v>2026</x:v>
      </x:c>
      <x:c r="L59" s="26" t="str">
        <x:v>TR</x:v>
      </x:c>
      <x:c r="M59" s="26"/>
      <x:c r="N59" s="26"/>
      <x:c r="O59" s="26"/>
      <x:c r="P59" s="26" t="str">
        <x:v>NONE</x:v>
      </x:c>
      <x:c r="Q59" s="26" t="str">
        <x:v>EXACT_SCALAR</x:v>
      </x:c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FAC-000059</x:v>
      </x:c>
      <x:c r="B60" s="26" t="str">
        <x:v>GENERATION</x:v>
      </x:c>
      <x:c r="C60" s="26" t="str">
        <x:v>GEN-000006</x:v>
      </x:c>
      <x:c r="D60" s="26" t="str">
        <x:v>width_mm</x:v>
      </x:c>
      <x:c r="E60" s="26" t="str">
        <x:v>NUMBER</x:v>
      </x:c>
      <x:c r="F60" s="26" t="n">
        <x:v>1850</x:v>
      </x:c>
      <x:c r="G60" s="26" t="str">
        <x:v>mm</x:v>
      </x:c>
      <x:c r="H60" s="26" t="str">
        <x:v>VERIFIED</x:v>
      </x:c>
      <x:c r="I60" s="26"/>
      <x:c r="J60" s="26" t="n">
        <x:v>2026</x:v>
      </x:c>
      <x:c r="K60" s="26" t="n">
        <x:v>2026</x:v>
      </x:c>
      <x:c r="L60" s="26" t="str">
        <x:v>TR</x:v>
      </x:c>
      <x:c r="M60" s="26"/>
      <x:c r="N60" s="26"/>
      <x:c r="O60" s="26"/>
      <x:c r="P60" s="26" t="str">
        <x:v>NONE</x:v>
      </x:c>
      <x:c r="Q60" s="26" t="str">
        <x:v>EXACT_SCALAR</x:v>
      </x:c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FAC-000060</x:v>
      </x:c>
      <x:c r="B61" s="26" t="str">
        <x:v>GENERATION</x:v>
      </x:c>
      <x:c r="C61" s="26" t="str">
        <x:v>GEN-000006</x:v>
      </x:c>
      <x:c r="D61" s="26" t="str">
        <x:v>height_mm</x:v>
      </x:c>
      <x:c r="E61" s="26" t="str">
        <x:v>NUMBER</x:v>
      </x:c>
      <x:c r="F61" s="26" t="n">
        <x:v>1560</x:v>
      </x:c>
      <x:c r="G61" s="26" t="str">
        <x:v>mm</x:v>
      </x:c>
      <x:c r="H61" s="26" t="str">
        <x:v>VERIFIED</x:v>
      </x:c>
      <x:c r="I61" s="26" t="str">
        <x:v>Prestige group</x:v>
      </x:c>
      <x:c r="J61" s="26" t="n">
        <x:v>2026</x:v>
      </x:c>
      <x:c r="K61" s="26" t="n">
        <x:v>2026</x:v>
      </x:c>
      <x:c r="L61" s="26" t="str">
        <x:v>TR</x:v>
      </x:c>
      <x:c r="M61" s="26"/>
      <x:c r="N61" s="26"/>
      <x:c r="O61" s="26"/>
      <x:c r="P61" s="26" t="str">
        <x:v>NONE</x:v>
      </x:c>
      <x:c r="Q61" s="26" t="str">
        <x:v>EXACT_SCALAR</x:v>
      </x:c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FAC-000061</x:v>
      </x:c>
      <x:c r="B62" s="26" t="str">
        <x:v>GENERATION</x:v>
      </x:c>
      <x:c r="C62" s="26" t="str">
        <x:v>GEN-000006</x:v>
      </x:c>
      <x:c r="D62" s="26" t="str">
        <x:v>wheelbase_mm</x:v>
      </x:c>
      <x:c r="E62" s="26" t="str">
        <x:v>NUMBER</x:v>
      </x:c>
      <x:c r="F62" s="26" t="n">
        <x:v>2680</x:v>
      </x:c>
      <x:c r="G62" s="26" t="str">
        <x:v>mm</x:v>
      </x:c>
      <x:c r="H62" s="26" t="str">
        <x:v>VERIFIED</x:v>
      </x:c>
      <x:c r="I62" s="26"/>
      <x:c r="J62" s="26" t="n">
        <x:v>2026</x:v>
      </x:c>
      <x:c r="K62" s="26" t="n">
        <x:v>2026</x:v>
      </x:c>
      <x:c r="L62" s="26" t="str">
        <x:v>TR</x:v>
      </x:c>
      <x:c r="M62" s="26"/>
      <x:c r="N62" s="26"/>
      <x:c r="O62" s="26"/>
      <x:c r="P62" s="26" t="str">
        <x:v>NONE</x:v>
      </x:c>
      <x:c r="Q62" s="26" t="str">
        <x:v>EXACT_SCALAR</x:v>
      </x:c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FAC-000062</x:v>
      </x:c>
      <x:c r="B63" s="26" t="str">
        <x:v>CONFIGURATION</x:v>
      </x:c>
      <x:c r="C63" s="26" t="str">
        <x:v>CFG-000006</x:v>
      </x:c>
      <x:c r="D63" s="26" t="str">
        <x:v>ground_clearance_mm</x:v>
      </x:c>
      <x:c r="E63" s="26" t="str">
        <x:v>NUMBER</x:v>
      </x:c>
      <x:c r="F63" s="26" t="n">
        <x:v>140</x:v>
      </x:c>
      <x:c r="G63" s="26" t="str">
        <x:v>mm</x:v>
      </x:c>
      <x:c r="H63" s="26" t="str">
        <x:v>VERIFIED</x:v>
      </x:c>
      <x:c r="I63" s="26" t="str">
        <x:v>Prestige group</x:v>
      </x:c>
      <x:c r="J63" s="26" t="n">
        <x:v>2026</x:v>
      </x:c>
      <x:c r="K63" s="26" t="n">
        <x:v>2026</x:v>
      </x:c>
      <x:c r="L63" s="26" t="str">
        <x:v>TR</x:v>
      </x:c>
      <x:c r="M63" s="26"/>
      <x:c r="N63" s="26"/>
      <x:c r="O63" s="26"/>
      <x:c r="P63" s="26" t="str">
        <x:v>NONE</x:v>
      </x:c>
      <x:c r="Q63" s="26" t="str">
        <x:v>EXACT_SCALAR</x:v>
      </x:c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FAC-000063</x:v>
      </x:c>
      <x:c r="B64" s="26" t="str">
        <x:v>CONFIGURATION</x:v>
      </x:c>
      <x:c r="C64" s="26" t="str">
        <x:v>CFG-000006</x:v>
      </x:c>
      <x:c r="D64" s="26" t="str">
        <x:v>cargo_volume_l</x:v>
      </x:c>
      <x:c r="E64" s="26" t="str">
        <x:v>NUMBER</x:v>
      </x:c>
      <x:c r="F64" s="26" t="n">
        <x:v>460</x:v>
      </x:c>
      <x:c r="G64" s="26" t="str">
        <x:v>L</x:v>
      </x:c>
      <x:c r="H64" s="26" t="str">
        <x:v>VERIFIED</x:v>
      </x:c>
      <x:c r="I64" s="26" t="str">
        <x:v>seats upright</x:v>
      </x:c>
      <x:c r="J64" s="26" t="n">
        <x:v>2026</x:v>
      </x:c>
      <x:c r="K64" s="26" t="n">
        <x:v>2026</x:v>
      </x:c>
      <x:c r="L64" s="26" t="str">
        <x:v>TR</x:v>
      </x:c>
      <x:c r="M64" s="26"/>
      <x:c r="N64" s="26"/>
      <x:c r="O64" s="26"/>
      <x:c r="P64" s="26" t="str">
        <x:v>NONE</x:v>
      </x:c>
      <x:c r="Q64" s="26" t="str">
        <x:v>EXACT_SCALAR</x:v>
      </x:c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FAC-000064</x:v>
      </x:c>
      <x:c r="B65" s="26" t="str">
        <x:v>CONFIGURATION</x:v>
      </x:c>
      <x:c r="C65" s="26" t="str">
        <x:v>CFG-000006</x:v>
      </x:c>
      <x:c r="D65" s="26" t="str">
        <x:v>cargo_volume_max_l</x:v>
      </x:c>
      <x:c r="E65" s="26" t="str">
        <x:v>NUMBER</x:v>
      </x:c>
      <x:c r="F65" s="26" t="n">
        <x:v>1251</x:v>
      </x:c>
      <x:c r="G65" s="26" t="str">
        <x:v>L</x:v>
      </x:c>
      <x:c r="H65" s="26" t="str">
        <x:v>VERIFIED</x:v>
      </x:c>
      <x:c r="I65" s="26" t="str">
        <x:v>seats folded</x:v>
      </x:c>
      <x:c r="J65" s="26" t="n">
        <x:v>2026</x:v>
      </x:c>
      <x:c r="K65" s="26" t="n">
        <x:v>2026</x:v>
      </x:c>
      <x:c r="L65" s="26" t="str">
        <x:v>TR</x:v>
      </x:c>
      <x:c r="M65" s="26"/>
      <x:c r="N65" s="26"/>
      <x:c r="O65" s="26"/>
      <x:c r="P65" s="26" t="str">
        <x:v>NONE</x:v>
      </x:c>
      <x:c r="Q65" s="26" t="str">
        <x:v>EXACT_SCALAR</x:v>
      </x:c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FAC-000065</x:v>
      </x:c>
      <x:c r="B66" s="26" t="str">
        <x:v>CONFIGURATION</x:v>
      </x:c>
      <x:c r="C66" s="26" t="str">
        <x:v>CFG-000006</x:v>
      </x:c>
      <x:c r="D66" s="26" t="str">
        <x:v>seats</x:v>
      </x:c>
      <x:c r="E66" s="26" t="str">
        <x:v>NUMBER</x:v>
      </x:c>
      <x:c r="F66" s="26" t="n">
        <x:v>5</x:v>
      </x:c>
      <x:c r="G66" s="26" t="str">
        <x:v>count</x:v>
      </x:c>
      <x:c r="H66" s="26" t="str">
        <x:v>VERIFIED</x:v>
      </x:c>
      <x:c r="I66" s="26"/>
      <x:c r="J66" s="26" t="n">
        <x:v>2026</x:v>
      </x:c>
      <x:c r="K66" s="26" t="n">
        <x:v>2026</x:v>
      </x:c>
      <x:c r="L66" s="26" t="str">
        <x:v>TR</x:v>
      </x:c>
      <x:c r="M66" s="26"/>
      <x:c r="N66" s="26"/>
      <x:c r="O66" s="26"/>
      <x:c r="P66" s="26" t="str">
        <x:v>NONE</x:v>
      </x:c>
      <x:c r="Q66" s="26" t="str">
        <x:v>EXACT_SCALAR</x:v>
      </x:c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FAC-000066</x:v>
      </x:c>
      <x:c r="B67" s="26" t="str">
        <x:v>CONFIGURATION</x:v>
      </x:c>
      <x:c r="C67" s="26" t="str">
        <x:v>CFG-000006</x:v>
      </x:c>
      <x:c r="D67" s="26" t="str">
        <x:v>official_electric_range</x:v>
      </x:c>
      <x:c r="E67" s="26" t="str">
        <x:v>NUMBER</x:v>
      </x:c>
      <x:c r="F67" s="26" t="n">
        <x:v>431</x:v>
      </x:c>
      <x:c r="G67" s="26" t="str">
        <x:v>km</x:v>
      </x:c>
      <x:c r="H67" s="26" t="str">
        <x:v>VERIFIED</x:v>
      </x:c>
      <x:c r="I67" s="26" t="str">
        <x:v>WLTP combined; Prestige</x:v>
      </x:c>
      <x:c r="J67" s="26" t="n">
        <x:v>2026</x:v>
      </x:c>
      <x:c r="K67" s="26" t="n">
        <x:v>2026</x:v>
      </x:c>
      <x:c r="L67" s="26" t="str">
        <x:v>TR</x:v>
      </x:c>
      <x:c r="M67" s="26"/>
      <x:c r="N67" s="26"/>
      <x:c r="O67" s="26"/>
      <x:c r="P67" s="26" t="str">
        <x:v>NONE</x:v>
      </x:c>
      <x:c r="Q67" s="26" t="str">
        <x:v>EXACT_SCALAR</x:v>
      </x:c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FAC-000067</x:v>
      </x:c>
      <x:c r="B68" s="26" t="str">
        <x:v>CONFIGURATION</x:v>
      </x:c>
      <x:c r="C68" s="26" t="str">
        <x:v>CFG-000006</x:v>
      </x:c>
      <x:c r="D68" s="26" t="str">
        <x:v>official_energy_consumption_combined</x:v>
      </x:c>
      <x:c r="E68" s="26" t="str">
        <x:v>NUMBER</x:v>
      </x:c>
      <x:c r="F68" s="26" t="n">
        <x:v>15.1</x:v>
      </x:c>
      <x:c r="G68" s="26" t="str">
        <x:v>kWh/100km</x:v>
      </x:c>
      <x:c r="H68" s="26" t="str">
        <x:v>VERIFIED</x:v>
      </x:c>
      <x:c r="I68" s="26" t="str">
        <x:v>WLTP; Prestige</x:v>
      </x:c>
      <x:c r="J68" s="26" t="n">
        <x:v>2026</x:v>
      </x:c>
      <x:c r="K68" s="26" t="n">
        <x:v>2026</x:v>
      </x:c>
      <x:c r="L68" s="26" t="str">
        <x:v>TR</x:v>
      </x:c>
      <x:c r="M68" s="26"/>
      <x:c r="N68" s="26"/>
      <x:c r="O68" s="26"/>
      <x:c r="P68" s="26" t="str">
        <x:v>NONE</x:v>
      </x:c>
      <x:c r="Q68" s="26" t="str">
        <x:v>EXACT_SCALAR</x:v>
      </x:c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FAC-000068</x:v>
      </x:c>
      <x:c r="B69" s="26" t="str">
        <x:v>POWERTRAIN</x:v>
      </x:c>
      <x:c r="C69" s="26" t="str">
        <x:v>PWR-000006</x:v>
      </x:c>
      <x:c r="D69" s="26" t="str">
        <x:v>max_dc_charge_kw</x:v>
      </x:c>
      <x:c r="E69" s="26" t="str">
        <x:v>NUMBER</x:v>
      </x:c>
      <x:c r="F69" s="26" t="n">
        <x:v>101</x:v>
      </x:c>
      <x:c r="G69" s="26" t="str">
        <x:v>kW</x:v>
      </x:c>
      <x:c r="H69" s="26" t="str">
        <x:v>VERIFIED</x:v>
      </x:c>
      <x:c r="I69" s="26" t="str">
        <x:v>58.3 kWh battery group</x:v>
      </x:c>
      <x:c r="J69" s="26" t="n">
        <x:v>2026</x:v>
      </x:c>
      <x:c r="K69" s="26" t="n">
        <x:v>2026</x:v>
      </x:c>
      <x:c r="L69" s="26" t="str">
        <x:v>TR</x:v>
      </x:c>
      <x:c r="M69" s="26"/>
      <x:c r="N69" s="26"/>
      <x:c r="O69" s="26"/>
      <x:c r="P69" s="26" t="str">
        <x:v>NONE</x:v>
      </x:c>
      <x:c r="Q69" s="26" t="str">
        <x:v>EXACT_SCALAR</x:v>
      </x:c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FAC-000069</x:v>
      </x:c>
      <x:c r="B70" s="26" t="str">
        <x:v>POWERTRAIN</x:v>
      </x:c>
      <x:c r="C70" s="26" t="str">
        <x:v>PWR-000006</x:v>
      </x:c>
      <x:c r="D70" s="26" t="str">
        <x:v>battery_capacity_reported_kwh</x:v>
      </x:c>
      <x:c r="E70" s="26" t="str">
        <x:v>NUMBER</x:v>
      </x:c>
      <x:c r="F70" s="26" t="n">
        <x:v>58.3</x:v>
      </x:c>
      <x:c r="G70" s="26" t="str">
        <x:v>kWh</x:v>
      </x:c>
      <x:c r="H70" s="26" t="str">
        <x:v>VERIFIED</x:v>
      </x:c>
      <x:c r="I70" s="26" t="str">
        <x:v>gross/usable unspecified</x:v>
      </x:c>
      <x:c r="J70" s="26" t="n">
        <x:v>2026</x:v>
      </x:c>
      <x:c r="K70" s="26" t="n">
        <x:v>2026</x:v>
      </x:c>
      <x:c r="L70" s="26" t="str">
        <x:v>TR</x:v>
      </x:c>
      <x:c r="M70" s="26"/>
      <x:c r="N70" s="26"/>
      <x:c r="O70" s="26"/>
      <x:c r="P70" s="26" t="str">
        <x:v>NONE</x:v>
      </x:c>
      <x:c r="Q70" s="26" t="str">
        <x:v>BATTERY_CAPACITY_UNQUALIFIED</x:v>
      </x:c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FAC-000070</x:v>
      </x:c>
      <x:c r="B71" s="26" t="str">
        <x:v>POWERTRAIN</x:v>
      </x:c>
      <x:c r="C71" s="26" t="str">
        <x:v>PWR-000006</x:v>
      </x:c>
      <x:c r="D71" s="26" t="str">
        <x:v>dc_charge_time_min</x:v>
      </x:c>
      <x:c r="E71" s="26" t="str">
        <x:v>NUMBER</x:v>
      </x:c>
      <x:c r="F71" s="26" t="n">
        <x:v>29</x:v>
      </x:c>
      <x:c r="G71" s="26" t="str">
        <x:v>min</x:v>
      </x:c>
      <x:c r="H71" s="26" t="str">
        <x:v>VERIFIED</x:v>
      </x:c>
      <x:c r="I71" s="26" t="str">
        <x:v>SOC 10–80%; 101 kW DC</x:v>
      </x:c>
      <x:c r="J71" s="26" t="n">
        <x:v>2026</x:v>
      </x:c>
      <x:c r="K71" s="26" t="n">
        <x:v>2026</x:v>
      </x:c>
      <x:c r="L71" s="26" t="str">
        <x:v>TR</x:v>
      </x:c>
      <x:c r="M71" s="26"/>
      <x:c r="N71" s="26"/>
      <x:c r="O71" s="26"/>
      <x:c r="P71" s="26" t="str">
        <x:v>NONE</x:v>
      </x:c>
      <x:c r="Q71" s="26" t="str">
        <x:v>CHARGE_TIME_WITH_SOC_CONTEXT</x:v>
      </x:c>
      <x:c r="R71" s="26"/>
      <x:c r="S71" s="26" t="n">
        <x:v>10</x:v>
      </x:c>
      <x:c r="T71" s="26" t="n">
        <x:v>80</x:v>
      </x:c>
      <x:c r="U71" s="26" t="n">
        <x:v>101</x:v>
      </x:c>
      <x:c r="V71" s="26"/>
      <x:c r="W71" s="26"/>
      <x:c r="X71" s="26"/>
      <x:c r="Y71" s="26"/>
      <x:c r="Z71" s="26"/>
    </x:row>
    <x:row r="72">
      <x:c r="A72" s="26" t="str">
        <x:v>FAC-000071</x:v>
      </x:c>
      <x:c r="B72" s="26" t="str">
        <x:v>POWERTRAIN</x:v>
      </x:c>
      <x:c r="C72" s="26" t="str">
        <x:v>PWR-000007</x:v>
      </x:c>
      <x:c r="D72" s="26" t="str">
        <x:v>power_kw</x:v>
      </x:c>
      <x:c r="E72" s="26" t="str">
        <x:v>NUMBER</x:v>
      </x:c>
      <x:c r="F72" s="26" t="n">
        <x:v>160</x:v>
      </x:c>
      <x:c r="G72" s="26" t="str">
        <x:v>kW</x:v>
      </x:c>
      <x:c r="H72" s="26" t="str">
        <x:v>REPORTED</x:v>
      </x:c>
      <x:c r="I72" s="26" t="str">
        <x:v>T10X V2</x:v>
      </x:c>
      <x:c r="J72" s="26" t="n">
        <x:v>2026</x:v>
      </x:c>
      <x:c r="K72" s="26" t="n">
        <x:v>2026</x:v>
      </x:c>
      <x:c r="L72" s="26" t="str">
        <x:v>TR</x:v>
      </x:c>
      <x:c r="M72" s="26" t="str">
        <x:v>Exact CFG mapping pending.</x:v>
      </x:c>
      <x:c r="N72" s="26"/>
      <x:c r="O72" s="26"/>
      <x:c r="P72" s="26" t="str">
        <x:v>NONE</x:v>
      </x:c>
      <x:c r="Q72" s="26" t="str">
        <x:v>EXACT_SCALAR</x:v>
      </x:c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FAC-000072</x:v>
      </x:c>
      <x:c r="B73" s="26" t="str">
        <x:v>CONFIGURATION</x:v>
      </x:c>
      <x:c r="C73" s="26" t="str">
        <x:v>CFG-000007</x:v>
      </x:c>
      <x:c r="D73" s="26" t="str">
        <x:v>official_electric_range</x:v>
      </x:c>
      <x:c r="E73" s="26" t="str">
        <x:v>NUMBER</x:v>
      </x:c>
      <x:c r="F73" s="26" t="n">
        <x:v>523</x:v>
      </x:c>
      <x:c r="G73" s="26" t="str">
        <x:v>km</x:v>
      </x:c>
      <x:c r="H73" s="26" t="str">
        <x:v>REPORTED</x:v>
      </x:c>
      <x:c r="I73" s="26" t="str">
        <x:v>Product page: up to, Long Range</x:v>
      </x:c>
      <x:c r="J73" s="26" t="n">
        <x:v>2026</x:v>
      </x:c>
      <x:c r="K73" s="26" t="n">
        <x:v>2026</x:v>
      </x:c>
      <x:c r="L73" s="26" t="str">
        <x:v>TR</x:v>
      </x:c>
      <x:c r="M73" s="26"/>
      <x:c r="N73" s="26"/>
      <x:c r="O73" s="26"/>
      <x:c r="P73" s="26" t="str">
        <x:v>NONE</x:v>
      </x:c>
      <x:c r="Q73" s="26" t="str">
        <x:v>EXACT_SCALAR</x:v>
      </x:c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FAC-000073</x:v>
      </x:c>
      <x:c r="B74" s="26" t="str">
        <x:v>CONFIGURATION</x:v>
      </x:c>
      <x:c r="C74" s="26" t="str">
        <x:v>CFG-000007</x:v>
      </x:c>
      <x:c r="D74" s="26" t="str">
        <x:v>official_electric_range</x:v>
      </x:c>
      <x:c r="E74" s="26" t="str">
        <x:v>NUMBER</x:v>
      </x:c>
      <x:c r="F74" s="26" t="n">
        <x:v>610</x:v>
      </x:c>
      <x:c r="G74" s="26" t="str">
        <x:v>km</x:v>
      </x:c>
      <x:c r="H74" s="26" t="str">
        <x:v>REPORTED</x:v>
      </x:c>
      <x:c r="I74" s="26" t="str">
        <x:v>Media center: V2, combined, 18-inch</x:v>
      </x:c>
      <x:c r="J74" s="26" t="n">
        <x:v>2026</x:v>
      </x:c>
      <x:c r="K74" s="26" t="n">
        <x:v>2026</x:v>
      </x:c>
      <x:c r="L74" s="26" t="str">
        <x:v>TR</x:v>
      </x:c>
      <x:c r="M74" s="26" t="str">
        <x:v>Do not merge with 523 km until identity is resolved.</x:v>
      </x:c>
      <x:c r="N74" s="26"/>
      <x:c r="O74" s="26"/>
      <x:c r="P74" s="26" t="str">
        <x:v>NONE</x:v>
      </x:c>
      <x:c r="Q74" s="26" t="str">
        <x:v>EXACT_SCALAR</x:v>
      </x:c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FAC-000074</x:v>
      </x:c>
      <x:c r="B75" s="26" t="str">
        <x:v>CONFIGURATION</x:v>
      </x:c>
      <x:c r="C75" s="26" t="str">
        <x:v>CFG-000007</x:v>
      </x:c>
      <x:c r="D75" s="26" t="str">
        <x:v>cargo_volume_l</x:v>
      </x:c>
      <x:c r="E75" s="26" t="str">
        <x:v>NUMBER</x:v>
      </x:c>
      <x:c r="F75" s="26" t="n">
        <x:v>505</x:v>
      </x:c>
      <x:c r="G75" s="26" t="str">
        <x:v>L</x:v>
      </x:c>
      <x:c r="H75" s="26" t="str">
        <x:v>REPORTED</x:v>
      </x:c>
      <x:c r="I75" s="26" t="str">
        <x:v>T10X V2</x:v>
      </x:c>
      <x:c r="J75" s="26" t="n">
        <x:v>2026</x:v>
      </x:c>
      <x:c r="K75" s="26" t="n">
        <x:v>2026</x:v>
      </x:c>
      <x:c r="L75" s="26" t="str">
        <x:v>TR</x:v>
      </x:c>
      <x:c r="M75" s="26"/>
      <x:c r="N75" s="26"/>
      <x:c r="O75" s="26"/>
      <x:c r="P75" s="26" t="str">
        <x:v>NONE</x:v>
      </x:c>
      <x:c r="Q75" s="26" t="str">
        <x:v>EXACT_SCALAR</x:v>
      </x:c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FAC-000075</x:v>
      </x:c>
      <x:c r="B76" s="26" t="str">
        <x:v>CONFIGURATION</x:v>
      </x:c>
      <x:c r="C76" s="26" t="str">
        <x:v>CFG-000007</x:v>
      </x:c>
      <x:c r="D76" s="26" t="str">
        <x:v>dc_charge_time_min</x:v>
      </x:c>
      <x:c r="E76" s="26" t="str">
        <x:v>NUMBER</x:v>
      </x:c>
      <x:c r="F76" s="26" t="n">
        <x:v>26.5</x:v>
      </x:c>
      <x:c r="G76" s="26" t="str">
        <x:v>min</x:v>
      </x:c>
      <x:c r="H76" s="26" t="str">
        <x:v>REPORTED</x:v>
      </x:c>
      <x:c r="I76" s="26" t="str">
        <x:v>SOC 20–80%; 180 kW DC</x:v>
      </x:c>
      <x:c r="J76" s="26" t="n">
        <x:v>2026</x:v>
      </x:c>
      <x:c r="K76" s="26" t="n">
        <x:v>2026</x:v>
      </x:c>
      <x:c r="L76" s="26" t="str">
        <x:v>TR</x:v>
      </x:c>
      <x:c r="M76" s="26"/>
      <x:c r="N76" s="26"/>
      <x:c r="O76" s="26"/>
      <x:c r="P76" s="26" t="str">
        <x:v>NONE</x:v>
      </x:c>
      <x:c r="Q76" s="26" t="str">
        <x:v>CHARGE_TIME_WITH_SOC_CONTEXT</x:v>
      </x:c>
      <x:c r="R76" s="26"/>
      <x:c r="S76" s="26" t="n">
        <x:v>20</x:v>
      </x:c>
      <x:c r="T76" s="26" t="n">
        <x:v>80</x:v>
      </x:c>
      <x:c r="U76" s="26" t="n">
        <x:v>180</x:v>
      </x:c>
      <x:c r="V76" s="26"/>
      <x:c r="W76" s="26"/>
      <x:c r="X76" s="26"/>
      <x:c r="Y76" s="26"/>
      <x:c r="Z76" s="26"/>
    </x:row>
    <x:row r="77">
      <x:c r="A77" s="26" t="str">
        <x:v>FAC-000076</x:v>
      </x:c>
      <x:c r="B77" s="26" t="str">
        <x:v>CONFIGURATION</x:v>
      </x:c>
      <x:c r="C77" s="26" t="str">
        <x:v>CFG-000007</x:v>
      </x:c>
      <x:c r="D77" s="26" t="str">
        <x:v>dc_charge_time_min</x:v>
      </x:c>
      <x:c r="E77" s="26" t="str">
        <x:v>NUMBER</x:v>
      </x:c>
      <x:c r="F77" s="26" t="n">
        <x:v>28</x:v>
      </x:c>
      <x:c r="G77" s="26" t="str">
        <x:v>min</x:v>
      </x:c>
      <x:c r="H77" s="26" t="str">
        <x:v>REPORTED</x:v>
      </x:c>
      <x:c r="I77" s="26" t="str">
        <x:v>SOC 20–80%; 180 kW DC</x:v>
      </x:c>
      <x:c r="J77" s="26" t="n">
        <x:v>2026</x:v>
      </x:c>
      <x:c r="K77" s="26" t="n">
        <x:v>2026</x:v>
      </x:c>
      <x:c r="L77" s="26" t="str">
        <x:v>TR</x:v>
      </x:c>
      <x:c r="M77" s="26" t="str">
        <x:v>Official-source discrepancy preserved.</x:v>
      </x:c>
      <x:c r="N77" s="26"/>
      <x:c r="O77" s="26"/>
      <x:c r="P77" s="26" t="str">
        <x:v>NONE</x:v>
      </x:c>
      <x:c r="Q77" s="26" t="str">
        <x:v>CHARGE_TIME_WITH_SOC_CONTEXT</x:v>
      </x:c>
      <x:c r="R77" s="26"/>
      <x:c r="S77" s="26" t="n">
        <x:v>20</x:v>
      </x:c>
      <x:c r="T77" s="26" t="n">
        <x:v>80</x:v>
      </x:c>
      <x:c r="U77" s="26" t="n">
        <x:v>180</x:v>
      </x:c>
      <x:c r="V77" s="26"/>
      <x:c r="W77" s="26"/>
      <x:c r="X77" s="26"/>
      <x:c r="Y77" s="26"/>
      <x:c r="Z77" s="26"/>
    </x:row>
    <x:row r="78">
      <x:c r="A78" s="26" t="str">
        <x:v>FAC-000077</x:v>
      </x:c>
      <x:c r="B78" s="26" t="str">
        <x:v>POWERTRAIN</x:v>
      </x:c>
      <x:c r="C78" s="26" t="str">
        <x:v>PWR-000008</x:v>
      </x:c>
      <x:c r="D78" s="26" t="str">
        <x:v>engine_displacement_cc</x:v>
      </x:c>
      <x:c r="E78" s="26" t="str">
        <x:v>NUMBER</x:v>
      </x:c>
      <x:c r="F78" s="26" t="n">
        <x:v>1199</x:v>
      </x:c>
      <x:c r="G78" s="26" t="str">
        <x:v>cc</x:v>
      </x:c>
      <x:c r="H78" s="26" t="str">
        <x:v>VERIFIED</x:v>
      </x:c>
      <x:c r="I78" s="26"/>
      <x:c r="J78" s="26" t="n">
        <x:v>2026</x:v>
      </x:c>
      <x:c r="K78" s="26" t="n">
        <x:v>2026</x:v>
      </x:c>
      <x:c r="L78" s="26" t="str">
        <x:v>TR</x:v>
      </x:c>
      <x:c r="M78" s="26"/>
      <x:c r="N78" s="26"/>
      <x:c r="O78" s="26"/>
      <x:c r="P78" s="26" t="str">
        <x:v>NONE</x:v>
      </x:c>
      <x:c r="Q78" s="26" t="str">
        <x:v>EXACT_SCALAR</x:v>
      </x:c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FAC-000078</x:v>
      </x:c>
      <x:c r="B79" s="26" t="str">
        <x:v>POWERTRAIN</x:v>
      </x:c>
      <x:c r="C79" s="26" t="str">
        <x:v>PWR-000008</x:v>
      </x:c>
      <x:c r="D79" s="26" t="str">
        <x:v>torque_nm</x:v>
      </x:c>
      <x:c r="E79" s="26" t="str">
        <x:v>NUMBER</x:v>
      </x:c>
      <x:c r="F79" s="26" t="n">
        <x:v>197</x:v>
      </x:c>
      <x:c r="G79" s="26" t="str">
        <x:v>Nm</x:v>
      </x:c>
      <x:c r="H79" s="26" t="str">
        <x:v>VERIFIED</x:v>
      </x:c>
      <x:c r="I79" s="26"/>
      <x:c r="J79" s="26" t="n">
        <x:v>2026</x:v>
      </x:c>
      <x:c r="K79" s="26" t="n">
        <x:v>2026</x:v>
      </x:c>
      <x:c r="L79" s="26" t="str">
        <x:v>TR</x:v>
      </x:c>
      <x:c r="M79" s="26"/>
      <x:c r="N79" s="26"/>
      <x:c r="O79" s="26"/>
      <x:c r="P79" s="26" t="str">
        <x:v>NONE</x:v>
      </x:c>
      <x:c r="Q79" s="26" t="str">
        <x:v>EXACT_SCALAR</x:v>
      </x:c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FAC-000079</x:v>
      </x:c>
      <x:c r="B80" s="26" t="str">
        <x:v>GENERATION</x:v>
      </x:c>
      <x:c r="C80" s="26" t="str">
        <x:v>GEN-000008</x:v>
      </x:c>
      <x:c r="D80" s="26" t="str">
        <x:v>length_mm</x:v>
      </x:c>
      <x:c r="E80" s="26" t="str">
        <x:v>NUMBER</x:v>
      </x:c>
      <x:c r="F80" s="26" t="n">
        <x:v>4102</x:v>
      </x:c>
      <x:c r="G80" s="26" t="str">
        <x:v>mm</x:v>
      </x:c>
      <x:c r="H80" s="26" t="str">
        <x:v>VERIFIED</x:v>
      </x:c>
      <x:c r="I80" s="26"/>
      <x:c r="J80" s="26" t="n">
        <x:v>2026</x:v>
      </x:c>
      <x:c r="K80" s="26" t="n">
        <x:v>2026</x:v>
      </x:c>
      <x:c r="L80" s="26" t="str">
        <x:v>TR</x:v>
      </x:c>
      <x:c r="M80" s="26"/>
      <x:c r="N80" s="26"/>
      <x:c r="O80" s="26"/>
      <x:c r="P80" s="26" t="str">
        <x:v>NONE</x:v>
      </x:c>
      <x:c r="Q80" s="26" t="str">
        <x:v>EXACT_SCALAR</x:v>
      </x:c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FAC-000080</x:v>
      </x:c>
      <x:c r="B81" s="26" t="str">
        <x:v>GENERATION</x:v>
      </x:c>
      <x:c r="C81" s="26" t="str">
        <x:v>GEN-000008</x:v>
      </x:c>
      <x:c r="D81" s="26" t="str">
        <x:v>width_mm</x:v>
      </x:c>
      <x:c r="E81" s="26" t="str">
        <x:v>NUMBER</x:v>
      </x:c>
      <x:c r="F81" s="26" t="n">
        <x:v>1853</x:v>
      </x:c>
      <x:c r="G81" s="26" t="str">
        <x:v>mm</x:v>
      </x:c>
      <x:c r="H81" s="26" t="str">
        <x:v>VERIFIED</x:v>
      </x:c>
      <x:c r="I81" s="26" t="str">
        <x:v>mirrors excluded</x:v>
      </x:c>
      <x:c r="J81" s="26" t="n">
        <x:v>2026</x:v>
      </x:c>
      <x:c r="K81" s="26" t="n">
        <x:v>2026</x:v>
      </x:c>
      <x:c r="L81" s="26" t="str">
        <x:v>TR</x:v>
      </x:c>
      <x:c r="M81" s="26"/>
      <x:c r="N81" s="26"/>
      <x:c r="O81" s="26"/>
      <x:c r="P81" s="26" t="str">
        <x:v>NONE</x:v>
      </x:c>
      <x:c r="Q81" s="26" t="str">
        <x:v>EXACT_SCALAR</x:v>
      </x:c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FAC-000081</x:v>
      </x:c>
      <x:c r="B82" s="26" t="str">
        <x:v>GENERATION</x:v>
      </x:c>
      <x:c r="C82" s="26" t="str">
        <x:v>GEN-000008</x:v>
      </x:c>
      <x:c r="D82" s="26" t="str">
        <x:v>height_mm</x:v>
      </x:c>
      <x:c r="E82" s="26" t="str">
        <x:v>NUMBER</x:v>
      </x:c>
      <x:c r="F82" s="26" t="n">
        <x:v>1535</x:v>
      </x:c>
      <x:c r="G82" s="26" t="str">
        <x:v>mm</x:v>
      </x:c>
      <x:c r="H82" s="26" t="str">
        <x:v>VERIFIED</x:v>
      </x:c>
      <x:c r="I82" s="26"/>
      <x:c r="J82" s="26" t="n">
        <x:v>2026</x:v>
      </x:c>
      <x:c r="K82" s="26" t="n">
        <x:v>2026</x:v>
      </x:c>
      <x:c r="L82" s="26" t="str">
        <x:v>TR</x:v>
      </x:c>
      <x:c r="M82" s="26"/>
      <x:c r="N82" s="26"/>
      <x:c r="O82" s="26"/>
      <x:c r="P82" s="26" t="str">
        <x:v>NONE</x:v>
      </x:c>
      <x:c r="Q82" s="26" t="str">
        <x:v>EXACT_SCALAR</x:v>
      </x:c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FAC-000082</x:v>
      </x:c>
      <x:c r="B83" s="26" t="str">
        <x:v>CONFIGURATION</x:v>
      </x:c>
      <x:c r="C83" s="26" t="str">
        <x:v>CFG-000008</x:v>
      </x:c>
      <x:c r="D83" s="26" t="str">
        <x:v>ground_clearance_mm</x:v>
      </x:c>
      <x:c r="E83" s="26" t="str">
        <x:v>NUMBER</x:v>
      </x:c>
      <x:c r="F83" s="26" t="n">
        <x:v>200</x:v>
      </x:c>
      <x:c r="G83" s="26" t="str">
        <x:v>mm</x:v>
      </x:c>
      <x:c r="H83" s="26" t="str">
        <x:v>VERIFIED</x:v>
      </x:c>
      <x:c r="I83" s="26"/>
      <x:c r="J83" s="26" t="n">
        <x:v>2026</x:v>
      </x:c>
      <x:c r="K83" s="26" t="n">
        <x:v>2026</x:v>
      </x:c>
      <x:c r="L83" s="26" t="str">
        <x:v>TR</x:v>
      </x:c>
      <x:c r="M83" s="26"/>
      <x:c r="N83" s="26"/>
      <x:c r="O83" s="26"/>
      <x:c r="P83" s="26" t="str">
        <x:v>NONE</x:v>
      </x:c>
      <x:c r="Q83" s="26" t="str">
        <x:v>EXACT_SCALAR</x:v>
      </x:c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FAC-000083</x:v>
      </x:c>
      <x:c r="B84" s="26" t="str">
        <x:v>POWERTRAIN</x:v>
      </x:c>
      <x:c r="C84" s="26" t="str">
        <x:v>PWR-000008</x:v>
      </x:c>
      <x:c r="D84" s="26" t="str">
        <x:v>official_fuel_consumption_combined</x:v>
      </x:c>
      <x:c r="E84" s="26" t="str">
        <x:v>NUMBER</x:v>
      </x:c>
      <x:c r="F84" s="26" t="n">
        <x:v>7.3</x:v>
      </x:c>
      <x:c r="G84" s="26" t="str">
        <x:v>L/100km</x:v>
      </x:c>
      <x:c r="H84" s="26" t="str">
        <x:v>VERIFIED</x:v>
      </x:c>
      <x:c r="I84" s="26" t="str">
        <x:v>WLTP</x:v>
      </x:c>
      <x:c r="J84" s="26" t="n">
        <x:v>2026</x:v>
      </x:c>
      <x:c r="K84" s="26" t="n">
        <x:v>2026</x:v>
      </x:c>
      <x:c r="L84" s="26" t="str">
        <x:v>TR</x:v>
      </x:c>
      <x:c r="M84" s="26"/>
      <x:c r="N84" s="26"/>
      <x:c r="O84" s="26"/>
      <x:c r="P84" s="26" t="str">
        <x:v>NONE</x:v>
      </x:c>
      <x:c r="Q84" s="26" t="str">
        <x:v>EXACT_SCALAR</x:v>
      </x:c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FAC-000084</x:v>
      </x:c>
      <x:c r="B85" s="26" t="str">
        <x:v>GENERATION</x:v>
      </x:c>
      <x:c r="C85" s="26" t="str">
        <x:v>GEN-000008</x:v>
      </x:c>
      <x:c r="D85" s="26" t="str">
        <x:v>cargo_volume_max_l</x:v>
      </x:c>
      <x:c r="E85" s="26" t="str">
        <x:v>NUMBER</x:v>
      </x:c>
      <x:c r="F85" s="26" t="n">
        <x:v>1455</x:v>
      </x:c>
      <x:c r="G85" s="26" t="str">
        <x:v>L</x:v>
      </x:c>
      <x:c r="H85" s="26" t="str">
        <x:v>VERIFIED</x:v>
      </x:c>
      <x:c r="I85" s="26" t="str">
        <x:v>up to; rear seats folded</x:v>
      </x:c>
      <x:c r="J85" s="26" t="n">
        <x:v>2026</x:v>
      </x:c>
      <x:c r="K85" s="26" t="n">
        <x:v>2026</x:v>
      </x:c>
      <x:c r="L85" s="26" t="str">
        <x:v>TR</x:v>
      </x:c>
      <x:c r="M85" s="26"/>
      <x:c r="N85" s="26"/>
      <x:c r="O85" s="26"/>
      <x:c r="P85" s="26" t="str">
        <x:v>NONE</x:v>
      </x:c>
      <x:c r="Q85" s="26" t="str">
        <x:v>EXACT_SCALAR</x:v>
      </x:c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6">
    <x:dataValidation type="list" sqref="B2:B500">
      <x:formula1>'12_LISTS'!$B$69:$B$72</x:formula1>
    </x:dataValidation>
    <x:dataValidation type="list" sqref="E2:E500">
      <x:formula1>'12_LISTS'!$B$73:$B$77</x:formula1>
    </x:dataValidation>
    <x:dataValidation type="list" sqref="H2:H500">
      <x:formula1>'12_LISTS'!$B$78:$B$83</x:formula1>
    </x:dataValidation>
    <x:dataValidation type="list" sqref="L2:L500">
      <x:formula1>'12_LISTS'!$B$59:$B$59</x:formula1>
    </x:dataValidation>
    <x:dataValidation type="list" sqref="P2:P500">
      <x:formula1>'12_LISTS'!$B$172:$B$174</x:formula1>
    </x:dataValidation>
    <x:dataValidation type="list" sqref="Q2:Q500">
      <x:formula1>'12_LISTS'!$B$175:$B$179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1f0611f29a4a2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0" hidden="0" customWidth="1"/>
    <x:col min="5" max="5" width="20" hidden="0" customWidth="1"/>
    <x:col min="6" max="6" width="40" hidden="0" customWidth="1"/>
  </x:cols>
  <x:sheetData>
    <x:row r="1">
      <x:c r="A1" s="6" t="str">
        <x:v>equipment_id</x:v>
      </x:c>
      <x:c r="B1" s="6" t="str">
        <x:v>configuration_id</x:v>
      </x:c>
      <x:c r="C1" s="6" t="str">
        <x:v>equipment_key</x:v>
      </x:c>
      <x:c r="D1" s="6" t="str">
        <x:v>availability</x:v>
      </x:c>
      <x:c r="E1" s="6" t="str">
        <x:v>evidence_state</x:v>
      </x:c>
      <x:c r="F1" s="6" t="str">
        <x:v>notes</x:v>
      </x:c>
    </x:row>
    <x:row r="2">
      <x:c r="A2" s="26" t="str">
        <x:v>EQP-000001</x:v>
      </x:c>
      <x:c r="B2" s="26" t="str">
        <x:v>CFG-000001</x:v>
      </x:c>
      <x:c r="C2" s="26" t="str">
        <x:v>aeb</x:v>
      </x:c>
      <x:c r="D2" s="26" t="str">
        <x:v>STANDARD</x:v>
      </x:c>
      <x:c r="E2" s="26" t="str">
        <x:v>VERIFIED</x:v>
      </x:c>
      <x:c r="F2" s="26" t="str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EQP-000002</x:v>
      </x:c>
      <x:c r="B3" s="26" t="str">
        <x:v>CFG-000001</x:v>
      </x:c>
      <x:c r="C3" s="26" t="str">
        <x:v>adaptive_cruise_control</x:v>
      </x:c>
      <x:c r="D3" s="26" t="str">
        <x:v>STANDARD</x:v>
      </x:c>
      <x:c r="E3" s="26" t="str">
        <x:v>VERIFIED</x:v>
      </x:c>
      <x:c r="F3" s="26" t="str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EQP-000003</x:v>
      </x:c>
      <x:c r="B4" s="26" t="str">
        <x:v>CFG-000001</x:v>
      </x:c>
      <x:c r="C4" s="26" t="str">
        <x:v>lane_keep_assist</x:v>
      </x:c>
      <x:c r="D4" s="26" t="str">
        <x:v>STANDARD</x:v>
      </x:c>
      <x:c r="E4" s="26" t="str">
        <x:v>VERIFIED</x:v>
      </x:c>
      <x:c r="F4" s="26" t="str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EQP-000004</x:v>
      </x:c>
      <x:c r="B5" s="26" t="str">
        <x:v>CFG-000001</x:v>
      </x:c>
      <x:c r="C5" s="26" t="str">
        <x:v>isofix_rear</x:v>
      </x:c>
      <x:c r="D5" s="26" t="str">
        <x:v>STANDARD</x:v>
      </x:c>
      <x:c r="E5" s="26" t="str">
        <x:v>VERIFIED</x:v>
      </x:c>
      <x:c r="F5" s="26" t="str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EQP-000005</x:v>
      </x:c>
      <x:c r="B6" s="26" t="str">
        <x:v>CFG-000001</x:v>
      </x:c>
      <x:c r="C6" s="26" t="str">
        <x:v>parking_sensors_rear</x:v>
      </x:c>
      <x:c r="D6" s="26" t="str">
        <x:v>STANDARD</x:v>
      </x:c>
      <x:c r="E6" s="26" t="str">
        <x:v>VERIFIED</x:v>
      </x:c>
      <x:c r="F6" s="26" t="str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EQP-000006</x:v>
      </x:c>
      <x:c r="B7" s="26" t="str">
        <x:v>CFG-000001</x:v>
      </x:c>
      <x:c r="C7" s="26" t="str">
        <x:v>reversing_camera</x:v>
      </x:c>
      <x:c r="D7" s="26" t="str">
        <x:v>STANDARD</x:v>
      </x:c>
      <x:c r="E7" s="26" t="str">
        <x:v>VERIFIED</x:v>
      </x:c>
      <x:c r="F7" s="26" t="str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EQP-000007</x:v>
      </x:c>
      <x:c r="B8" s="26" t="str">
        <x:v>CFG-000001</x:v>
      </x:c>
      <x:c r="C8" s="26" t="str">
        <x:v>keyless_entry</x:v>
      </x:c>
      <x:c r="D8" s="26" t="str">
        <x:v>STANDARD</x:v>
      </x:c>
      <x:c r="E8" s="26" t="str">
        <x:v>VERIFIED</x:v>
      </x:c>
      <x:c r="F8" s="26" t="str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EQP-000008</x:v>
      </x:c>
      <x:c r="B9" s="26" t="str">
        <x:v>CFG-000001</x:v>
      </x:c>
      <x:c r="C9" s="26" t="str">
        <x:v>apple_carplay</x:v>
      </x:c>
      <x:c r="D9" s="26" t="str">
        <x:v>UNKNOWN</x:v>
      </x:c>
      <x:c r="E9" s="26" t="str">
        <x:v>UNKNOWN</x:v>
      </x:c>
      <x:c r="F9" s="26" t="str">
        <x:v>Not explicitly resolved in this pass.</x:v>
      </x:c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EQP-000009</x:v>
      </x:c>
      <x:c r="B10" s="26" t="str">
        <x:v>CFG-000001</x:v>
      </x:c>
      <x:c r="C10" s="26" t="str">
        <x:v>android_auto</x:v>
      </x:c>
      <x:c r="D10" s="26" t="str">
        <x:v>UNKNOWN</x:v>
      </x:c>
      <x:c r="E10" s="26" t="str">
        <x:v>UNKNOWN</x:v>
      </x:c>
      <x:c r="F10" s="26" t="str">
        <x:v>Not explicitly resolved in this pass.</x:v>
      </x:c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EQP-000010</x:v>
      </x:c>
      <x:c r="B11" s="26" t="str">
        <x:v>CFG-000001</x:v>
      </x:c>
      <x:c r="C11" s="26" t="str">
        <x:v>blind_spot_monitor</x:v>
      </x:c>
      <x:c r="D11" s="26" t="str">
        <x:v>UNKNOWN</x:v>
      </x:c>
      <x:c r="E11" s="26" t="str">
        <x:v>UNKNOWN</x:v>
      </x:c>
      <x:c r="F11" s="26" t="str">
        <x:v>Not explicitly resolved in this pass.</x:v>
      </x:c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EQP-000011</x:v>
      </x:c>
      <x:c r="B12" s="26" t="str">
        <x:v>CFG-000001</x:v>
      </x:c>
      <x:c r="C12" s="26" t="str">
        <x:v>camera_360</x:v>
      </x:c>
      <x:c r="D12" s="26" t="str">
        <x:v>UNKNOWN</x:v>
      </x:c>
      <x:c r="E12" s="26" t="str">
        <x:v>UNKNOWN</x:v>
      </x:c>
      <x:c r="F12" s="26" t="str">
        <x:v>Not explicitly resolved in this pass.</x:v>
      </x:c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EQP-000012</x:v>
      </x:c>
      <x:c r="B13" s="26" t="str">
        <x:v>CFG-000001</x:v>
      </x:c>
      <x:c r="C13" s="26" t="str">
        <x:v>parking_sensors_front</x:v>
      </x:c>
      <x:c r="D13" s="26" t="str">
        <x:v>UNKNOWN</x:v>
      </x:c>
      <x:c r="E13" s="26" t="str">
        <x:v>UNKNOWN</x:v>
      </x:c>
      <x:c r="F13" s="26" t="str">
        <x:v>Not explicitly resolved in this pass.</x:v>
      </x:c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EQP-000013</x:v>
      </x:c>
      <x:c r="B14" s="26" t="str">
        <x:v>CFG-000002</x:v>
      </x:c>
      <x:c r="C14" s="26" t="str">
        <x:v>aeb</x:v>
      </x:c>
      <x:c r="D14" s="26" t="str">
        <x:v>STANDARD</x:v>
      </x:c>
      <x:c r="E14" s="26" t="str">
        <x:v>VERIFIED</x:v>
      </x:c>
      <x:c r="F14" s="26" t="str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EQP-000014</x:v>
      </x:c>
      <x:c r="B15" s="26" t="str">
        <x:v>CFG-000002</x:v>
      </x:c>
      <x:c r="C15" s="26" t="str">
        <x:v>lane_keep_assist</x:v>
      </x:c>
      <x:c r="D15" s="26" t="str">
        <x:v>STANDARD</x:v>
      </x:c>
      <x:c r="E15" s="26" t="str">
        <x:v>VERIFIED</x:v>
      </x:c>
      <x:c r="F15" s="26" t="str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EQP-000015</x:v>
      </x:c>
      <x:c r="B16" s="26" t="str">
        <x:v>CFG-000002</x:v>
      </x:c>
      <x:c r="C16" s="26" t="str">
        <x:v>parking_sensors_rear</x:v>
      </x:c>
      <x:c r="D16" s="26" t="str">
        <x:v>STANDARD</x:v>
      </x:c>
      <x:c r="E16" s="26" t="str">
        <x:v>VERIFIED</x:v>
      </x:c>
      <x:c r="F16" s="26" t="str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EQP-000016</x:v>
      </x:c>
      <x:c r="B17" s="26" t="str">
        <x:v>CFG-000002</x:v>
      </x:c>
      <x:c r="C17" s="26" t="str">
        <x:v>reversing_camera</x:v>
      </x:c>
      <x:c r="D17" s="26" t="str">
        <x:v>STANDARD</x:v>
      </x:c>
      <x:c r="E17" s="26" t="str">
        <x:v>VERIFIED</x:v>
      </x:c>
      <x:c r="F17" s="26" t="str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EQP-000017</x:v>
      </x:c>
      <x:c r="B18" s="26" t="str">
        <x:v>CFG-000002</x:v>
      </x:c>
      <x:c r="C18" s="26" t="str">
        <x:v>adaptive_cruise_control</x:v>
      </x:c>
      <x:c r="D18" s="26" t="str">
        <x:v>UNKNOWN</x:v>
      </x:c>
      <x:c r="E18" s="26" t="str">
        <x:v>UNKNOWN</x:v>
      </x:c>
      <x:c r="F18" s="26" t="str">
        <x:v>Unlisted on Easy is not proof of NOT_AVAILABLE.</x:v>
      </x:c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EQP-000018</x:v>
      </x:c>
      <x:c r="B19" s="26" t="str">
        <x:v>CFG-000002</x:v>
      </x:c>
      <x:c r="C19" s="26" t="str">
        <x:v>blind_spot_monitor</x:v>
      </x:c>
      <x:c r="D19" s="26" t="str">
        <x:v>UNKNOWN</x:v>
      </x:c>
      <x:c r="E19" s="26" t="str">
        <x:v>UNKNOWN</x:v>
      </x:c>
      <x:c r="F19" s="26" t="str">
        <x:v>Unlisted on Easy is not proof of NOT_AVAILABLE.</x:v>
      </x:c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EQP-000019</x:v>
      </x:c>
      <x:c r="B20" s="26" t="str">
        <x:v>CFG-000002</x:v>
      </x:c>
      <x:c r="C20" s="26" t="str">
        <x:v>camera_360</x:v>
      </x:c>
      <x:c r="D20" s="26" t="str">
        <x:v>UNKNOWN</x:v>
      </x:c>
      <x:c r="E20" s="26" t="str">
        <x:v>UNKNOWN</x:v>
      </x:c>
      <x:c r="F20" s="26" t="str">
        <x:v>Unlisted on Easy is not proof of NOT_AVAILABLE.</x:v>
      </x:c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EQP-000020</x:v>
      </x:c>
      <x:c r="B21" s="26" t="str">
        <x:v>CFG-000002</x:v>
      </x:c>
      <x:c r="C21" s="26" t="str">
        <x:v>apple_carplay</x:v>
      </x:c>
      <x:c r="D21" s="26" t="str">
        <x:v>UNKNOWN</x:v>
      </x:c>
      <x:c r="E21" s="26" t="str">
        <x:v>UNKNOWN</x:v>
      </x:c>
      <x:c r="F21" s="26" t="str">
        <x:v>Unlisted on Easy is not proof of NOT_AVAILABLE.</x:v>
      </x:c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EQP-000021</x:v>
      </x:c>
      <x:c r="B22" s="26" t="str">
        <x:v>CFG-000002</x:v>
      </x:c>
      <x:c r="C22" s="26" t="str">
        <x:v>android_auto</x:v>
      </x:c>
      <x:c r="D22" s="26" t="str">
        <x:v>UNKNOWN</x:v>
      </x:c>
      <x:c r="E22" s="26" t="str">
        <x:v>UNKNOWN</x:v>
      </x:c>
      <x:c r="F22" s="26" t="str">
        <x:v>Unlisted on Easy is not proof of NOT_AVAILABLE.</x:v>
      </x:c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EQP-000022</x:v>
      </x:c>
      <x:c r="B23" s="26" t="str">
        <x:v>CFG-000003</x:v>
      </x:c>
      <x:c r="C23" s="26" t="str">
        <x:v>aeb</x:v>
      </x:c>
      <x:c r="D23" s="26" t="str">
        <x:v>STANDARD</x:v>
      </x:c>
      <x:c r="E23" s="26" t="str">
        <x:v>VERIFIED</x:v>
      </x:c>
      <x:c r="F23" s="26" t="str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EQP-000023</x:v>
      </x:c>
      <x:c r="B24" s="26" t="str">
        <x:v>CFG-000003</x:v>
      </x:c>
      <x:c r="C24" s="26" t="str">
        <x:v>adaptive_cruise_control</x:v>
      </x:c>
      <x:c r="D24" s="26" t="str">
        <x:v>STANDARD</x:v>
      </x:c>
      <x:c r="E24" s="26" t="str">
        <x:v>VERIFIED</x:v>
      </x:c>
      <x:c r="F24" s="26" t="str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EQP-000024</x:v>
      </x:c>
      <x:c r="B25" s="26" t="str">
        <x:v>CFG-000003</x:v>
      </x:c>
      <x:c r="C25" s="26" t="str">
        <x:v>lane_keep_assist</x:v>
      </x:c>
      <x:c r="D25" s="26" t="str">
        <x:v>STANDARD</x:v>
      </x:c>
      <x:c r="E25" s="26" t="str">
        <x:v>VERIFIED</x:v>
      </x:c>
      <x:c r="F25" s="26" t="str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EQP-000025</x:v>
      </x:c>
      <x:c r="B26" s="26" t="str">
        <x:v>CFG-000003</x:v>
      </x:c>
      <x:c r="C26" s="26" t="str">
        <x:v>blind_spot_monitor</x:v>
      </x:c>
      <x:c r="D26" s="26" t="str">
        <x:v>UNKNOWN</x:v>
      </x:c>
      <x:c r="E26" s="26" t="str">
        <x:v>UNKNOWN</x:v>
      </x:c>
      <x:c r="F26" s="26" t="str">
        <x:v>Not resolved in this pass.</x:v>
      </x:c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EQP-000026</x:v>
      </x:c>
      <x:c r="B27" s="26" t="str">
        <x:v>CFG-000003</x:v>
      </x:c>
      <x:c r="C27" s="26" t="str">
        <x:v>rear_cross_traffic_alert</x:v>
      </x:c>
      <x:c r="D27" s="26" t="str">
        <x:v>UNKNOWN</x:v>
      </x:c>
      <x:c r="E27" s="26" t="str">
        <x:v>UNKNOWN</x:v>
      </x:c>
      <x:c r="F27" s="26" t="str">
        <x:v>Not resolved in this pass.</x:v>
      </x:c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EQP-000027</x:v>
      </x:c>
      <x:c r="B28" s="26" t="str">
        <x:v>CFG-000003</x:v>
      </x:c>
      <x:c r="C28" s="26" t="str">
        <x:v>isofix_rear</x:v>
      </x:c>
      <x:c r="D28" s="26" t="str">
        <x:v>UNKNOWN</x:v>
      </x:c>
      <x:c r="E28" s="26" t="str">
        <x:v>UNKNOWN</x:v>
      </x:c>
      <x:c r="F28" s="26" t="str">
        <x:v>Not resolved in this pass.</x:v>
      </x:c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EQP-000028</x:v>
      </x:c>
      <x:c r="B29" s="26" t="str">
        <x:v>CFG-000003</x:v>
      </x:c>
      <x:c r="C29" s="26" t="str">
        <x:v>parking_sensors_rear</x:v>
      </x:c>
      <x:c r="D29" s="26" t="str">
        <x:v>UNKNOWN</x:v>
      </x:c>
      <x:c r="E29" s="26" t="str">
        <x:v>UNKNOWN</x:v>
      </x:c>
      <x:c r="F29" s="26" t="str">
        <x:v>Not resolved in this pass.</x:v>
      </x:c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EQP-000029</x:v>
      </x:c>
      <x:c r="B30" s="26" t="str">
        <x:v>CFG-000003</x:v>
      </x:c>
      <x:c r="C30" s="26" t="str">
        <x:v>reversing_camera</x:v>
      </x:c>
      <x:c r="D30" s="26" t="str">
        <x:v>UNKNOWN</x:v>
      </x:c>
      <x:c r="E30" s="26" t="str">
        <x:v>UNKNOWN</x:v>
      </x:c>
      <x:c r="F30" s="26" t="str">
        <x:v>Not resolved in this pass.</x:v>
      </x:c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EQP-000030</x:v>
      </x:c>
      <x:c r="B31" s="26" t="str">
        <x:v>CFG-000003</x:v>
      </x:c>
      <x:c r="C31" s="26" t="str">
        <x:v>camera_360</x:v>
      </x:c>
      <x:c r="D31" s="26" t="str">
        <x:v>UNKNOWN</x:v>
      </x:c>
      <x:c r="E31" s="26" t="str">
        <x:v>UNKNOWN</x:v>
      </x:c>
      <x:c r="F31" s="26" t="str">
        <x:v>Not resolved in this pass.</x:v>
      </x:c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EQP-000031</x:v>
      </x:c>
      <x:c r="B32" s="26" t="str">
        <x:v>CFG-000004</x:v>
      </x:c>
      <x:c r="C32" s="26" t="str">
        <x:v>aeb</x:v>
      </x:c>
      <x:c r="D32" s="26" t="str">
        <x:v>STANDARD</x:v>
      </x:c>
      <x:c r="E32" s="26" t="str">
        <x:v>VERIFIED</x:v>
      </x:c>
      <x:c r="F32" s="26" t="str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EQP-000032</x:v>
      </x:c>
      <x:c r="B33" s="26" t="str">
        <x:v>CFG-000004</x:v>
      </x:c>
      <x:c r="C33" s="26" t="str">
        <x:v>lane_departure_warning</x:v>
      </x:c>
      <x:c r="D33" s="26" t="str">
        <x:v>STANDARD</x:v>
      </x:c>
      <x:c r="E33" s="26" t="str">
        <x:v>VERIFIED</x:v>
      </x:c>
      <x:c r="F33" s="26" t="str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EQP-000033</x:v>
      </x:c>
      <x:c r="B34" s="26" t="str">
        <x:v>CFG-000004</x:v>
      </x:c>
      <x:c r="C34" s="26" t="str">
        <x:v>blind_spot_monitor</x:v>
      </x:c>
      <x:c r="D34" s="26" t="str">
        <x:v>STANDARD</x:v>
      </x:c>
      <x:c r="E34" s="26" t="str">
        <x:v>VERIFIED</x:v>
      </x:c>
      <x:c r="F34" s="26" t="str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EQP-000034</x:v>
      </x:c>
      <x:c r="B35" s="26" t="str">
        <x:v>CFG-000004</x:v>
      </x:c>
      <x:c r="C35" s="26" t="str">
        <x:v>rear_cross_traffic_alert</x:v>
      </x:c>
      <x:c r="D35" s="26" t="str">
        <x:v>STANDARD</x:v>
      </x:c>
      <x:c r="E35" s="26" t="str">
        <x:v>VERIFIED</x:v>
      </x:c>
      <x:c r="F35" s="26" t="str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EQP-000035</x:v>
      </x:c>
      <x:c r="B36" s="26" t="str">
        <x:v>CFG-000004</x:v>
      </x:c>
      <x:c r="C36" s="26" t="str">
        <x:v>parking_sensors_rear</x:v>
      </x:c>
      <x:c r="D36" s="26" t="str">
        <x:v>STANDARD</x:v>
      </x:c>
      <x:c r="E36" s="26" t="str">
        <x:v>VERIFIED</x:v>
      </x:c>
      <x:c r="F36" s="26" t="str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EQP-000036</x:v>
      </x:c>
      <x:c r="B37" s="26" t="str">
        <x:v>CFG-000004</x:v>
      </x:c>
      <x:c r="C37" s="26" t="str">
        <x:v>reversing_camera</x:v>
      </x:c>
      <x:c r="D37" s="26" t="str">
        <x:v>STANDARD</x:v>
      </x:c>
      <x:c r="E37" s="26" t="str">
        <x:v>VERIFIED</x:v>
      </x:c>
      <x:c r="F37" s="26" t="str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EQP-000037</x:v>
      </x:c>
      <x:c r="B38" s="26" t="str">
        <x:v>CFG-000004</x:v>
      </x:c>
      <x:c r="C38" s="26" t="str">
        <x:v>automatic_climate_control</x:v>
      </x:c>
      <x:c r="D38" s="26" t="str">
        <x:v>STANDARD</x:v>
      </x:c>
      <x:c r="E38" s="26" t="str">
        <x:v>VERIFIED</x:v>
      </x:c>
      <x:c r="F38" s="26" t="str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EQP-000038</x:v>
      </x:c>
      <x:c r="B39" s="26" t="str">
        <x:v>CFG-000004</x:v>
      </x:c>
      <x:c r="C39" s="26" t="str">
        <x:v>parking_sensors_front</x:v>
      </x:c>
      <x:c r="D39" s="26" t="str">
        <x:v>NOT_AVAILABLE</x:v>
      </x:c>
      <x:c r="E39" s="26" t="str">
        <x:v>VERIFIED</x:v>
      </x:c>
      <x:c r="F39" s="26" t="str">
        <x:v>Official table shows rear-only sensors.</x:v>
      </x:c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EQP-000039</x:v>
      </x:c>
      <x:c r="B40" s="26" t="str">
        <x:v>CFG-000004</x:v>
      </x:c>
      <x:c r="C40" s="26" t="str">
        <x:v>heated_front_seats</x:v>
      </x:c>
      <x:c r="D40" s="26" t="str">
        <x:v>NOT_AVAILABLE</x:v>
      </x:c>
      <x:c r="E40" s="26" t="str">
        <x:v>VERIFIED</x:v>
      </x:c>
      <x:c r="F40" s="26" t="str">
        <x:v>Official table marks heated seats absent.</x:v>
      </x:c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EQP-000040</x:v>
      </x:c>
      <x:c r="B41" s="26" t="str">
        <x:v>CFG-000004</x:v>
      </x:c>
      <x:c r="C41" s="26" t="str">
        <x:v>adaptive_cruise_control</x:v>
      </x:c>
      <x:c r="D41" s="26" t="str">
        <x:v>UNKNOWN</x:v>
      </x:c>
      <x:c r="E41" s="26" t="str">
        <x:v>UNKNOWN</x:v>
      </x:c>
      <x:c r="F41" s="26" t="str">
        <x:v>Terminology/applicability unresolved.</x:v>
      </x:c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EQP-000041</x:v>
      </x:c>
      <x:c r="B42" s="26" t="str">
        <x:v>CFG-000004</x:v>
      </x:c>
      <x:c r="C42" s="26" t="str">
        <x:v>lane_keep_assist</x:v>
      </x:c>
      <x:c r="D42" s="26" t="str">
        <x:v>UNKNOWN</x:v>
      </x:c>
      <x:c r="E42" s="26" t="str">
        <x:v>UNKNOWN</x:v>
      </x:c>
      <x:c r="F42" s="26" t="str">
        <x:v>Terminology/applicability unresolved.</x:v>
      </x:c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EQP-000042</x:v>
      </x:c>
      <x:c r="B43" s="26" t="str">
        <x:v>CFG-000004</x:v>
      </x:c>
      <x:c r="C43" s="26" t="str">
        <x:v>camera_360</x:v>
      </x:c>
      <x:c r="D43" s="26" t="str">
        <x:v>UNKNOWN</x:v>
      </x:c>
      <x:c r="E43" s="26" t="str">
        <x:v>UNKNOWN</x:v>
      </x:c>
      <x:c r="F43" s="26" t="str">
        <x:v>Terminology/applicability unresolved.</x:v>
      </x:c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EQP-000043</x:v>
      </x:c>
      <x:c r="B44" s="26" t="str">
        <x:v>CFG-000004</x:v>
      </x:c>
      <x:c r="C44" s="26" t="str">
        <x:v>apple_carplay</x:v>
      </x:c>
      <x:c r="D44" s="26" t="str">
        <x:v>UNKNOWN</x:v>
      </x:c>
      <x:c r="E44" s="26" t="str">
        <x:v>UNKNOWN</x:v>
      </x:c>
      <x:c r="F44" s="26" t="str">
        <x:v>Terminology/applicability unresolved.</x:v>
      </x:c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EQP-000044</x:v>
      </x:c>
      <x:c r="B45" s="26" t="str">
        <x:v>CFG-000004</x:v>
      </x:c>
      <x:c r="C45" s="26" t="str">
        <x:v>android_auto</x:v>
      </x:c>
      <x:c r="D45" s="26" t="str">
        <x:v>UNKNOWN</x:v>
      </x:c>
      <x:c r="E45" s="26" t="str">
        <x:v>UNKNOWN</x:v>
      </x:c>
      <x:c r="F45" s="26" t="str">
        <x:v>Terminology/applicability unresolved.</x:v>
      </x:c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EQP-000045</x:v>
      </x:c>
      <x:c r="B46" s="26" t="str">
        <x:v>CFG-000005</x:v>
      </x:c>
      <x:c r="C46" s="26" t="str">
        <x:v>aeb</x:v>
      </x:c>
      <x:c r="D46" s="26" t="str">
        <x:v>STANDARD</x:v>
      </x:c>
      <x:c r="E46" s="26" t="str">
        <x:v>VERIFIED</x:v>
      </x:c>
      <x:c r="F46" s="26" t="str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EQP-000046</x:v>
      </x:c>
      <x:c r="B47" s="26" t="str">
        <x:v>CFG-000005</x:v>
      </x:c>
      <x:c r="C47" s="26" t="str">
        <x:v>adaptive_cruise_control</x:v>
      </x:c>
      <x:c r="D47" s="26" t="str">
        <x:v>STANDARD</x:v>
      </x:c>
      <x:c r="E47" s="26" t="str">
        <x:v>VERIFIED</x:v>
      </x:c>
      <x:c r="F47" s="26" t="str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EQP-000047</x:v>
      </x:c>
      <x:c r="B48" s="26" t="str">
        <x:v>CFG-000005</x:v>
      </x:c>
      <x:c r="C48" s="26" t="str">
        <x:v>lane_keep_assist</x:v>
      </x:c>
      <x:c r="D48" s="26" t="str">
        <x:v>STANDARD</x:v>
      </x:c>
      <x:c r="E48" s="26" t="str">
        <x:v>VERIFIED</x:v>
      </x:c>
      <x:c r="F48" s="26" t="str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EQP-000048</x:v>
      </x:c>
      <x:c r="B49" s="26" t="str">
        <x:v>CFG-000005</x:v>
      </x:c>
      <x:c r="C49" s="26" t="str">
        <x:v>blind_spot_monitor</x:v>
      </x:c>
      <x:c r="D49" s="26" t="str">
        <x:v>STANDARD</x:v>
      </x:c>
      <x:c r="E49" s="26" t="str">
        <x:v>VERIFIED</x:v>
      </x:c>
      <x:c r="F49" s="26" t="str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EQP-000049</x:v>
      </x:c>
      <x:c r="B50" s="26" t="str">
        <x:v>CFG-000005</x:v>
      </x:c>
      <x:c r="C50" s="26" t="str">
        <x:v>rear_cross_traffic_alert</x:v>
      </x:c>
      <x:c r="D50" s="26" t="str">
        <x:v>STANDARD</x:v>
      </x:c>
      <x:c r="E50" s="26" t="str">
        <x:v>VERIFIED</x:v>
      </x:c>
      <x:c r="F50" s="26" t="str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EQP-000050</x:v>
      </x:c>
      <x:c r="B51" s="26" t="str">
        <x:v>CFG-000005</x:v>
      </x:c>
      <x:c r="C51" s="26" t="str">
        <x:v>isofix_rear</x:v>
      </x:c>
      <x:c r="D51" s="26" t="str">
        <x:v>STANDARD</x:v>
      </x:c>
      <x:c r="E51" s="26" t="str">
        <x:v>VERIFIED</x:v>
      </x:c>
      <x:c r="F51" s="26" t="str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EQP-000051</x:v>
      </x:c>
      <x:c r="B52" s="26" t="str">
        <x:v>CFG-000005</x:v>
      </x:c>
      <x:c r="C52" s="26" t="str">
        <x:v>isofix_front</x:v>
      </x:c>
      <x:c r="D52" s="26" t="str">
        <x:v>STANDARD</x:v>
      </x:c>
      <x:c r="E52" s="26" t="str">
        <x:v>VERIFIED</x:v>
      </x:c>
      <x:c r="F52" s="26" t="str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EQP-000052</x:v>
      </x:c>
      <x:c r="B53" s="26" t="str">
        <x:v>CFG-000005</x:v>
      </x:c>
      <x:c r="C53" s="26" t="str">
        <x:v>parking_sensors_rear</x:v>
      </x:c>
      <x:c r="D53" s="26" t="str">
        <x:v>STANDARD</x:v>
      </x:c>
      <x:c r="E53" s="26" t="str">
        <x:v>VERIFIED</x:v>
      </x:c>
      <x:c r="F53" s="26" t="str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EQP-000053</x:v>
      </x:c>
      <x:c r="B54" s="26" t="str">
        <x:v>CFG-000005</x:v>
      </x:c>
      <x:c r="C54" s="26" t="str">
        <x:v>parking_sensors_front</x:v>
      </x:c>
      <x:c r="D54" s="26" t="str">
        <x:v>STANDARD</x:v>
      </x:c>
      <x:c r="E54" s="26" t="str">
        <x:v>VERIFIED</x:v>
      </x:c>
      <x:c r="F54" s="26" t="str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EQP-000054</x:v>
      </x:c>
      <x:c r="B55" s="26" t="str">
        <x:v>CFG-000005</x:v>
      </x:c>
      <x:c r="C55" s="26" t="str">
        <x:v>camera_360</x:v>
      </x:c>
      <x:c r="D55" s="26" t="str">
        <x:v>STANDARD</x:v>
      </x:c>
      <x:c r="E55" s="26" t="str">
        <x:v>VERIFIED</x:v>
      </x:c>
      <x:c r="F55" s="26" t="str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EQP-000055</x:v>
      </x:c>
      <x:c r="B56" s="26" t="str">
        <x:v>CFG-000005</x:v>
      </x:c>
      <x:c r="C56" s="26" t="str">
        <x:v>apple_carplay</x:v>
      </x:c>
      <x:c r="D56" s="26" t="str">
        <x:v>STANDARD</x:v>
      </x:c>
      <x:c r="E56" s="26" t="str">
        <x:v>VERIFIED</x:v>
      </x:c>
      <x:c r="F56" s="26" t="str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 t="str">
        <x:v>EQP-000056</x:v>
      </x:c>
      <x:c r="B57" s="26" t="str">
        <x:v>CFG-000005</x:v>
      </x:c>
      <x:c r="C57" s="26" t="str">
        <x:v>android_auto</x:v>
      </x:c>
      <x:c r="D57" s="26" t="str">
        <x:v>STANDARD</x:v>
      </x:c>
      <x:c r="E57" s="26" t="str">
        <x:v>VERIFIED</x:v>
      </x:c>
      <x:c r="F57" s="26" t="str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EQP-000057</x:v>
      </x:c>
      <x:c r="B58" s="26" t="str">
        <x:v>CFG-000005</x:v>
      </x:c>
      <x:c r="C58" s="26" t="str">
        <x:v>automatic_climate_control</x:v>
      </x:c>
      <x:c r="D58" s="26" t="str">
        <x:v>STANDARD</x:v>
      </x:c>
      <x:c r="E58" s="26" t="str">
        <x:v>VERIFIED</x:v>
      </x:c>
      <x:c r="F58" s="26" t="str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EQP-000058</x:v>
      </x:c>
      <x:c r="B59" s="26" t="str">
        <x:v>CFG-000005</x:v>
      </x:c>
      <x:c r="C59" s="26" t="str">
        <x:v>heated_front_seats</x:v>
      </x:c>
      <x:c r="D59" s="26" t="str">
        <x:v>STANDARD</x:v>
      </x:c>
      <x:c r="E59" s="26" t="str">
        <x:v>VERIFIED</x:v>
      </x:c>
      <x:c r="F59" s="26" t="str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EQP-000059</x:v>
      </x:c>
      <x:c r="B60" s="26" t="str">
        <x:v>CFG-000005</x:v>
      </x:c>
      <x:c r="C60" s="26" t="str">
        <x:v>ventilated_front_seats</x:v>
      </x:c>
      <x:c r="D60" s="26" t="str">
        <x:v>STANDARD</x:v>
      </x:c>
      <x:c r="E60" s="26" t="str">
        <x:v>VERIFIED</x:v>
      </x:c>
      <x:c r="F60" s="26" t="str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EQP-000060</x:v>
      </x:c>
      <x:c r="B61" s="26" t="str">
        <x:v>CFG-000005</x:v>
      </x:c>
      <x:c r="C61" s="26" t="str">
        <x:v>powered_tailgate</x:v>
      </x:c>
      <x:c r="D61" s="26" t="str">
        <x:v>STANDARD</x:v>
      </x:c>
      <x:c r="E61" s="26" t="str">
        <x:v>VERIFIED</x:v>
      </x:c>
      <x:c r="F61" s="26" t="str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EQP-000061</x:v>
      </x:c>
      <x:c r="B62" s="26" t="str">
        <x:v>CFG-000006</x:v>
      </x:c>
      <x:c r="C62" s="26" t="str">
        <x:v>aeb</x:v>
      </x:c>
      <x:c r="D62" s="26" t="str">
        <x:v>STANDARD</x:v>
      </x:c>
      <x:c r="E62" s="26" t="str">
        <x:v>VERIFIED</x:v>
      </x:c>
      <x:c r="F62" s="26" t="str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EQP-000062</x:v>
      </x:c>
      <x:c r="B63" s="26" t="str">
        <x:v>CFG-000006</x:v>
      </x:c>
      <x:c r="C63" s="26" t="str">
        <x:v>adaptive_cruise_control</x:v>
      </x:c>
      <x:c r="D63" s="26" t="str">
        <x:v>STANDARD</x:v>
      </x:c>
      <x:c r="E63" s="26" t="str">
        <x:v>VERIFIED</x:v>
      </x:c>
      <x:c r="F63" s="26" t="str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EQP-000063</x:v>
      </x:c>
      <x:c r="B64" s="26" t="str">
        <x:v>CFG-000006</x:v>
      </x:c>
      <x:c r="C64" s="26" t="str">
        <x:v>lane_keep_assist</x:v>
      </x:c>
      <x:c r="D64" s="26" t="str">
        <x:v>STANDARD</x:v>
      </x:c>
      <x:c r="E64" s="26" t="str">
        <x:v>VERIFIED</x:v>
      </x:c>
      <x:c r="F64" s="26" t="str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EQP-000064</x:v>
      </x:c>
      <x:c r="B65" s="26" t="str">
        <x:v>CFG-000006</x:v>
      </x:c>
      <x:c r="C65" s="26" t="str">
        <x:v>blind_spot_monitor</x:v>
      </x:c>
      <x:c r="D65" s="26" t="str">
        <x:v>STANDARD</x:v>
      </x:c>
      <x:c r="E65" s="26" t="str">
        <x:v>VERIFIED</x:v>
      </x:c>
      <x:c r="F65" s="26" t="str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EQP-000065</x:v>
      </x:c>
      <x:c r="B66" s="26" t="str">
        <x:v>CFG-000006</x:v>
      </x:c>
      <x:c r="C66" s="26" t="str">
        <x:v>parking_sensors_rear</x:v>
      </x:c>
      <x:c r="D66" s="26" t="str">
        <x:v>STANDARD</x:v>
      </x:c>
      <x:c r="E66" s="26" t="str">
        <x:v>VERIFIED</x:v>
      </x:c>
      <x:c r="F66" s="26" t="str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EQP-000066</x:v>
      </x:c>
      <x:c r="B67" s="26" t="str">
        <x:v>CFG-000006</x:v>
      </x:c>
      <x:c r="C67" s="26" t="str">
        <x:v>parking_sensors_front</x:v>
      </x:c>
      <x:c r="D67" s="26" t="str">
        <x:v>STANDARD</x:v>
      </x:c>
      <x:c r="E67" s="26" t="str">
        <x:v>VERIFIED</x:v>
      </x:c>
      <x:c r="F67" s="26" t="str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EQP-000067</x:v>
      </x:c>
      <x:c r="B68" s="26" t="str">
        <x:v>CFG-000006</x:v>
      </x:c>
      <x:c r="C68" s="26" t="str">
        <x:v>reversing_camera</x:v>
      </x:c>
      <x:c r="D68" s="26" t="str">
        <x:v>STANDARD</x:v>
      </x:c>
      <x:c r="E68" s="26" t="str">
        <x:v>VERIFIED</x:v>
      </x:c>
      <x:c r="F68" s="26" t="str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EQP-000068</x:v>
      </x:c>
      <x:c r="B69" s="26" t="str">
        <x:v>CFG-000006</x:v>
      </x:c>
      <x:c r="C69" s="26" t="str">
        <x:v>camera_360</x:v>
      </x:c>
      <x:c r="D69" s="26" t="str">
        <x:v>STANDARD</x:v>
      </x:c>
      <x:c r="E69" s="26" t="str">
        <x:v>VERIFIED</x:v>
      </x:c>
      <x:c r="F69" s="26" t="str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EQP-000069</x:v>
      </x:c>
      <x:c r="B70" s="26" t="str">
        <x:v>CFG-000006</x:v>
      </x:c>
      <x:c r="C70" s="26" t="str">
        <x:v>heated_front_seats</x:v>
      </x:c>
      <x:c r="D70" s="26" t="str">
        <x:v>STANDARD</x:v>
      </x:c>
      <x:c r="E70" s="26" t="str">
        <x:v>VERIFIED</x:v>
      </x:c>
      <x:c r="F70" s="26" t="str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EQP-000070</x:v>
      </x:c>
      <x:c r="B71" s="26" t="str">
        <x:v>CFG-000006</x:v>
      </x:c>
      <x:c r="C71" s="26" t="str">
        <x:v>powered_tailgate</x:v>
      </x:c>
      <x:c r="D71" s="26" t="str">
        <x:v>STANDARD</x:v>
      </x:c>
      <x:c r="E71" s="26" t="str">
        <x:v>VERIFIED</x:v>
      </x:c>
      <x:c r="F71" s="26" t="str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 t="str">
        <x:v>EQP-000071</x:v>
      </x:c>
      <x:c r="B72" s="26" t="str">
        <x:v>CFG-000006</x:v>
      </x:c>
      <x:c r="C72" s="26" t="str">
        <x:v>apple_carplay</x:v>
      </x:c>
      <x:c r="D72" s="26" t="str">
        <x:v>UNKNOWN</x:v>
      </x:c>
      <x:c r="E72" s="26" t="str">
        <x:v>UNKNOWN</x:v>
      </x:c>
      <x:c r="F72" s="26" t="str">
        <x:v>Not explicitly resolved in this pass.</x:v>
      </x:c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EQP-000072</x:v>
      </x:c>
      <x:c r="B73" s="26" t="str">
        <x:v>CFG-000006</x:v>
      </x:c>
      <x:c r="C73" s="26" t="str">
        <x:v>android_auto</x:v>
      </x:c>
      <x:c r="D73" s="26" t="str">
        <x:v>UNKNOWN</x:v>
      </x:c>
      <x:c r="E73" s="26" t="str">
        <x:v>UNKNOWN</x:v>
      </x:c>
      <x:c r="F73" s="26" t="str">
        <x:v>Not explicitly resolved in this pass.</x:v>
      </x:c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EQP-000073</x:v>
      </x:c>
      <x:c r="B74" s="26" t="str">
        <x:v>CFG-000006</x:v>
      </x:c>
      <x:c r="C74" s="26" t="str">
        <x:v>isofix_rear</x:v>
      </x:c>
      <x:c r="D74" s="26" t="str">
        <x:v>UNKNOWN</x:v>
      </x:c>
      <x:c r="E74" s="26" t="str">
        <x:v>UNKNOWN</x:v>
      </x:c>
      <x:c r="F74" s="26" t="str">
        <x:v>Not explicitly resolved in this pass.</x:v>
      </x:c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EQP-000074</x:v>
      </x:c>
      <x:c r="B75" s="26" t="str">
        <x:v>CFG-000006</x:v>
      </x:c>
      <x:c r="C75" s="26" t="str">
        <x:v>rear_cross_traffic_alert</x:v>
      </x:c>
      <x:c r="D75" s="26" t="str">
        <x:v>UNKNOWN</x:v>
      </x:c>
      <x:c r="E75" s="26" t="str">
        <x:v>UNKNOWN</x:v>
      </x:c>
      <x:c r="F75" s="26" t="str">
        <x:v>Not explicitly resolved in this pass.</x:v>
      </x:c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EQP-000075</x:v>
      </x:c>
      <x:c r="B76" s="26" t="str">
        <x:v>CFG-000007</x:v>
      </x:c>
      <x:c r="C76" s="26" t="str">
        <x:v>aeb</x:v>
      </x:c>
      <x:c r="D76" s="26" t="str">
        <x:v>UNKNOWN</x:v>
      </x:c>
      <x:c r="E76" s="26" t="str">
        <x:v>UNKNOWN</x:v>
      </x:c>
      <x:c r="F76" s="26" t="str">
        <x:v>Configuration identity unresolved.</x:v>
      </x:c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 t="str">
        <x:v>EQP-000076</x:v>
      </x:c>
      <x:c r="B77" s="26" t="str">
        <x:v>CFG-000007</x:v>
      </x:c>
      <x:c r="C77" s="26" t="str">
        <x:v>adaptive_cruise_control</x:v>
      </x:c>
      <x:c r="D77" s="26" t="str">
        <x:v>STANDARD</x:v>
      </x:c>
      <x:c r="E77" s="26" t="str">
        <x:v>VERIFIED</x:v>
      </x:c>
      <x:c r="F77" s="26" t="str">
        <x:v>ACC is standard on all T10X produced April 2025 onward per official ADAS notice.</x:v>
      </x:c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 t="str">
        <x:v>EQP-000077</x:v>
      </x:c>
      <x:c r="B78" s="26" t="str">
        <x:v>CFG-000007</x:v>
      </x:c>
      <x:c r="C78" s="26" t="str">
        <x:v>lane_keep_assist</x:v>
      </x:c>
      <x:c r="D78" s="26" t="str">
        <x:v>UNKNOWN</x:v>
      </x:c>
      <x:c r="E78" s="26" t="str">
        <x:v>UNKNOWN</x:v>
      </x:c>
      <x:c r="F78" s="26" t="str">
        <x:v>Configuration identity unresolved.</x:v>
      </x:c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EQP-000078</x:v>
      </x:c>
      <x:c r="B79" s="26" t="str">
        <x:v>CFG-000007</x:v>
      </x:c>
      <x:c r="C79" s="26" t="str">
        <x:v>blind_spot_monitor</x:v>
      </x:c>
      <x:c r="D79" s="26" t="str">
        <x:v>UNKNOWN</x:v>
      </x:c>
      <x:c r="E79" s="26" t="str">
        <x:v>UNKNOWN</x:v>
      </x:c>
      <x:c r="F79" s="26" t="str">
        <x:v>Configuration identity unresolved.</x:v>
      </x:c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EQP-000079</x:v>
      </x:c>
      <x:c r="B80" s="26" t="str">
        <x:v>CFG-000007</x:v>
      </x:c>
      <x:c r="C80" s="26" t="str">
        <x:v>parking_sensors_rear</x:v>
      </x:c>
      <x:c r="D80" s="26" t="str">
        <x:v>UNKNOWN</x:v>
      </x:c>
      <x:c r="E80" s="26" t="str">
        <x:v>UNKNOWN</x:v>
      </x:c>
      <x:c r="F80" s="26" t="str">
        <x:v>Configuration identity unresolved.</x:v>
      </x:c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EQP-000080</x:v>
      </x:c>
      <x:c r="B81" s="26" t="str">
        <x:v>CFG-000007</x:v>
      </x:c>
      <x:c r="C81" s="26" t="str">
        <x:v>reversing_camera</x:v>
      </x:c>
      <x:c r="D81" s="26" t="str">
        <x:v>UNKNOWN</x:v>
      </x:c>
      <x:c r="E81" s="26" t="str">
        <x:v>UNKNOWN</x:v>
      </x:c>
      <x:c r="F81" s="26" t="str">
        <x:v>Configuration identity unresolved.</x:v>
      </x:c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EQP-000081</x:v>
      </x:c>
      <x:c r="B82" s="26" t="str">
        <x:v>CFG-000007</x:v>
      </x:c>
      <x:c r="C82" s="26" t="str">
        <x:v>camera_360</x:v>
      </x:c>
      <x:c r="D82" s="26" t="str">
        <x:v>UNKNOWN</x:v>
      </x:c>
      <x:c r="E82" s="26" t="str">
        <x:v>UNKNOWN</x:v>
      </x:c>
      <x:c r="F82" s="26" t="str">
        <x:v>Configuration identity unresolved.</x:v>
      </x:c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EQP-000082</x:v>
      </x:c>
      <x:c r="B83" s="26" t="str">
        <x:v>CFG-000008</x:v>
      </x:c>
      <x:c r="C83" s="26" t="str">
        <x:v>aeb</x:v>
      </x:c>
      <x:c r="D83" s="26" t="str">
        <x:v>STANDARD</x:v>
      </x:c>
      <x:c r="E83" s="26" t="str">
        <x:v>VERIFIED</x:v>
      </x:c>
      <x:c r="F83" s="26" t="str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EQP-000083</x:v>
      </x:c>
      <x:c r="B84" s="26" t="str">
        <x:v>CFG-000008</x:v>
      </x:c>
      <x:c r="C84" s="26" t="str">
        <x:v>lane_keep_assist</x:v>
      </x:c>
      <x:c r="D84" s="26" t="str">
        <x:v>STANDARD</x:v>
      </x:c>
      <x:c r="E84" s="26" t="str">
        <x:v>VERIFIED</x:v>
      </x:c>
      <x:c r="F84" s="26" t="str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EQP-000084</x:v>
      </x:c>
      <x:c r="B85" s="26" t="str">
        <x:v>CFG-000008</x:v>
      </x:c>
      <x:c r="C85" s="26" t="str">
        <x:v>isofix_rear</x:v>
      </x:c>
      <x:c r="D85" s="26" t="str">
        <x:v>STANDARD</x:v>
      </x:c>
      <x:c r="E85" s="26" t="str">
        <x:v>VERIFIED</x:v>
      </x:c>
      <x:c r="F85" s="26" t="str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 t="str">
        <x:v>EQP-000085</x:v>
      </x:c>
      <x:c r="B86" s="26" t="str">
        <x:v>CFG-000008</x:v>
      </x:c>
      <x:c r="C86" s="26" t="str">
        <x:v>reversing_camera</x:v>
      </x:c>
      <x:c r="D86" s="26" t="str">
        <x:v>STANDARD</x:v>
      </x:c>
      <x:c r="E86" s="26" t="str">
        <x:v>VERIFIED</x:v>
      </x:c>
      <x:c r="F86" s="26" t="str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 t="str">
        <x:v>EQP-000086</x:v>
      </x:c>
      <x:c r="B87" s="26" t="str">
        <x:v>CFG-000008</x:v>
      </x:c>
      <x:c r="C87" s="26" t="str">
        <x:v>apple_carplay</x:v>
      </x:c>
      <x:c r="D87" s="26" t="str">
        <x:v>STANDARD</x:v>
      </x:c>
      <x:c r="E87" s="26" t="str">
        <x:v>VERIFIED</x:v>
      </x:c>
      <x:c r="F87" s="26" t="str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 t="str">
        <x:v>EQP-000087</x:v>
      </x:c>
      <x:c r="B88" s="26" t="str">
        <x:v>CFG-000008</x:v>
      </x:c>
      <x:c r="C88" s="26" t="str">
        <x:v>android_auto</x:v>
      </x:c>
      <x:c r="D88" s="26" t="str">
        <x:v>STANDARD</x:v>
      </x:c>
      <x:c r="E88" s="26" t="str">
        <x:v>VERIFIED</x:v>
      </x:c>
      <x:c r="F88" s="26" t="str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 t="str">
        <x:v>EQP-000088</x:v>
      </x:c>
      <x:c r="B89" s="26" t="str">
        <x:v>CFG-000008</x:v>
      </x:c>
      <x:c r="C89" s="26" t="str">
        <x:v>keyless_entry</x:v>
      </x:c>
      <x:c r="D89" s="26" t="str">
        <x:v>STANDARD</x:v>
      </x:c>
      <x:c r="E89" s="26" t="str">
        <x:v>VERIFIED</x:v>
      </x:c>
      <x:c r="F89" s="26" t="str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 t="str">
        <x:v>EQP-000089</x:v>
      </x:c>
      <x:c r="B90" s="26" t="str">
        <x:v>CFG-000008</x:v>
      </x:c>
      <x:c r="C90" s="26" t="str">
        <x:v>adaptive_cruise_control</x:v>
      </x:c>
      <x:c r="D90" s="26" t="str">
        <x:v>UNKNOWN</x:v>
      </x:c>
      <x:c r="E90" s="26" t="str">
        <x:v>UNKNOWN</x:v>
      </x:c>
      <x:c r="F90" s="26" t="str">
        <x:v>Basic cruise is not mapped to adaptive; remaining items unresolved.</x:v>
      </x:c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 t="str">
        <x:v>EQP-000090</x:v>
      </x:c>
      <x:c r="B91" s="26" t="str">
        <x:v>CFG-000008</x:v>
      </x:c>
      <x:c r="C91" s="26" t="str">
        <x:v>blind_spot_monitor</x:v>
      </x:c>
      <x:c r="D91" s="26" t="str">
        <x:v>UNKNOWN</x:v>
      </x:c>
      <x:c r="E91" s="26" t="str">
        <x:v>UNKNOWN</x:v>
      </x:c>
      <x:c r="F91" s="26" t="str">
        <x:v>Basic cruise is not mapped to adaptive; remaining items unresolved.</x:v>
      </x:c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 t="str">
        <x:v>EQP-000091</x:v>
      </x:c>
      <x:c r="B92" s="26" t="str">
        <x:v>CFG-000008</x:v>
      </x:c>
      <x:c r="C92" s="26" t="str">
        <x:v>camera_360</x:v>
      </x:c>
      <x:c r="D92" s="26" t="str">
        <x:v>UNKNOWN</x:v>
      </x:c>
      <x:c r="E92" s="26" t="str">
        <x:v>UNKNOWN</x:v>
      </x:c>
      <x:c r="F92" s="26" t="str">
        <x:v>Basic cruise is not mapped to adaptive; remaining items unresolved.</x:v>
      </x:c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 t="str">
        <x:v>EQP-000092</x:v>
      </x:c>
      <x:c r="B93" s="26" t="str">
        <x:v>CFG-000008</x:v>
      </x:c>
      <x:c r="C93" s="26" t="str">
        <x:v>parking_sensors_front</x:v>
      </x:c>
      <x:c r="D93" s="26" t="str">
        <x:v>UNKNOWN</x:v>
      </x:c>
      <x:c r="E93" s="26" t="str">
        <x:v>UNKNOWN</x:v>
      </x:c>
      <x:c r="F93" s="26" t="str">
        <x:v>Basic cruise is not mapped to adaptive; remaining items unresolved.</x:v>
      </x:c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 t="str">
        <x:v>EQP-000093</x:v>
      </x:c>
      <x:c r="B94" s="26" t="str">
        <x:v>CFG-000008</x:v>
      </x:c>
      <x:c r="C94" s="26" t="str">
        <x:v>parking_sensors_rear</x:v>
      </x:c>
      <x:c r="D94" s="26" t="str">
        <x:v>UNKNOWN</x:v>
      </x:c>
      <x:c r="E94" s="26" t="str">
        <x:v>UNKNOWN</x:v>
      </x:c>
      <x:c r="F94" s="26" t="str">
        <x:v>Basic cruise is not mapped to adaptive; remaining items unresolved.</x:v>
      </x:c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 t="str">
        <x:v>NOT_AVAILABLE means positively evidenced absence; UNKNOWN means not known.</x:v>
      </x:c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D2:D500">
      <x:formula1>'12_LISTS'!$B$84:$B$87</x:formula1>
    </x:dataValidation>
    <x:dataValidation type="list" sqref="E2:E500">
      <x:formula1>'12_LISTS'!$B$78:$B$83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b480b26d32481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14" hidden="0" customWidth="1"/>
    <x:col min="6" max="6" width="20" hidden="0" customWidth="1"/>
    <x:col min="7" max="7" width="20" hidden="0" customWidth="1"/>
    <x:col min="8" max="8" width="24" hidden="0" customWidth="1"/>
    <x:col min="9" max="9" width="20" hidden="0" customWidth="1"/>
    <x:col min="10" max="10" width="22" hidden="0" customWidth="1"/>
    <x:col min="11" max="11" width="40" hidden="0" customWidth="1"/>
  </x:cols>
  <x:sheetData>
    <x:row r="1">
      <x:c r="A1" s="6" t="str">
        <x:v>safety_id</x:v>
      </x:c>
      <x:c r="B1" s="6" t="str">
        <x:v>generation_id</x:v>
      </x:c>
      <x:c r="C1" s="6" t="str">
        <x:v>assessment_body</x:v>
      </x:c>
      <x:c r="D1" s="6" t="str">
        <x:v>assessment_year</x:v>
      </x:c>
      <x:c r="E1" s="6" t="str">
        <x:v>overall_rating</x:v>
      </x:c>
      <x:c r="F1" s="6" t="str">
        <x:v>adult_occupant_score</x:v>
      </x:c>
      <x:c r="G1" s="6" t="str">
        <x:v>child_occupant_score</x:v>
      </x:c>
      <x:c r="H1" s="6" t="str">
        <x:v>vulnerable_road_user_score</x:v>
      </x:c>
      <x:c r="I1" s="6" t="str">
        <x:v>safety_assist_score</x:v>
      </x:c>
      <x:c r="J1" s="6" t="str">
        <x:v>applicability_status</x:v>
      </x:c>
      <x:c r="K1" s="6" t="str">
        <x:v>notes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 t="str">
        <x:v>Preserve assessment year and applicability. Do not treat ratings from different protocols/years as directly equivalent.</x:v>
      </x:c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2">
    <x:dataValidation type="list" sqref="C2:C500">
      <x:formula1>'12_LISTS'!$B$88:$B$92</x:formula1>
    </x:dataValidation>
    <x:dataValidation type="list" sqref="J2:J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8670566ebf4d7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6" hidden="0" customWidth="1"/>
    <x:col min="4" max="4" width="24" hidden="0" customWidth="1"/>
    <x:col min="5" max="5" width="48" hidden="0" customWidth="1"/>
    <x:col min="6" max="6" width="10" hidden="0" customWidth="1"/>
    <x:col min="7" max="7" width="16" hidden="0" customWidth="1"/>
    <x:col min="8" max="8" width="16" hidden="0" customWidth="1"/>
    <x:col min="9" max="9" width="28" hidden="0" customWidth="1"/>
    <x:col min="10" max="10" width="18" hidden="0" customWidth="1"/>
    <x:col min="11" max="11" width="40" hidden="0" customWidth="1"/>
  </x:cols>
  <x:sheetData>
    <x:row r="1">
      <x:c r="A1" s="6" t="str">
        <x:v>source_id</x:v>
      </x:c>
      <x:c r="B1" s="6" t="str">
        <x:v>publisher</x:v>
      </x:c>
      <x:c r="C1" s="6" t="str">
        <x:v>source_title</x:v>
      </x:c>
      <x:c r="D1" s="6" t="str">
        <x:v>source_type</x:v>
      </x:c>
      <x:c r="E1" s="6" t="str">
        <x:v>source_url</x:v>
      </x:c>
      <x:c r="F1" s="6" t="str">
        <x:v>market</x:v>
      </x:c>
      <x:c r="G1" s="6" t="str">
        <x:v>publication_date</x:v>
      </x:c>
      <x:c r="H1" s="6" t="str">
        <x:v>retrieved_at</x:v>
      </x:c>
      <x:c r="I1" s="6" t="str">
        <x:v>authority_class</x:v>
      </x:c>
      <x:c r="J1" s="6" t="str">
        <x:v>source_status</x:v>
      </x:c>
      <x:c r="K1" s="6" t="str">
        <x:v>notes</x:v>
      </x:c>
      <x:c r="L1" t="str">
        <x:v>source_url_canonical</x:v>
      </x:c>
      <x:c r="M1" t="str">
        <x:v>source_version_label</x:v>
      </x:c>
      <x:c r="N1" t="str">
        <x:v>source_observed_at</x:v>
      </x:c>
      <x:c r="O1" t="str">
        <x:v>source_content_hash</x:v>
      </x:c>
      <x:c r="P1" t="str">
        <x:v>source_snapshot_ref</x:v>
      </x:c>
    </x:row>
    <x:row r="2">
      <x:c r="A2" s="26" t="str">
        <x:v>SRC-000001</x:v>
      </x:c>
      <x:c r="B2" s="26" t="str">
        <x:v>Renault Türkiye</x:v>
      </x:c>
      <x:c r="C2" s="26" t="str">
        <x:v>Yeni Renault Clio</x:v>
      </x:c>
      <x:c r="D2" s="26" t="str">
        <x:v>OFFICIAL_WEB</x:v>
      </x:c>
      <x:c r="E2" s="26" t="str">
        <x:v>https://www.renault.com.tr/hybrid-araclar/yeni-clio.html</x:v>
      </x:c>
      <x:c r="F2" s="26" t="str">
        <x:v>TR</x:v>
      </x:c>
      <x:c r="G2" s="36"/>
      <x:c r="H2" s="36" t="n">
        <x:v>46248</x:v>
      </x:c>
      <x:c r="I2" s="26" t="str">
        <x:v>A1_OFFICIAL_MARKET</x:v>
      </x:c>
      <x:c r="J2" s="26" t="str">
        <x:v>ACTIVE</x:v>
      </x:c>
      <x:c r="K2" s="26" t="str">
        <x:v>Current product page; TCe 115 explicitly stated.</x:v>
      </x:c>
      <x:c r="L2" s="26" t="str">
        <x:v>https://www.renault.com.tr/hybrid-araclar/yeni-clio.html</x:v>
      </x:c>
      <x:c r="M2" s="26"/>
      <x:c r="N2" s="26" t="n">
        <x:v>46248</x:v>
      </x:c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SRC-000002</x:v>
      </x:c>
      <x:c r="B3" s="26" t="str">
        <x:v>Fiat Türkiye</x:v>
      </x:c>
      <x:c r="C3" s="26" t="str">
        <x:v>Egea Dizel Ağustos 2026 Kampanyası</x:v>
      </x:c>
      <x:c r="D3" s="26" t="str">
        <x:v>OFFICIAL_WEB</x:v>
      </x:c>
      <x:c r="E3" s="26" t="str">
        <x:v>https://www.fiat.com.tr/kampanyalar/satis/boyle-firsat-olsa-olsa-egeada-olur</x:v>
      </x:c>
      <x:c r="F3" s="26" t="str">
        <x:v>TR</x:v>
      </x:c>
      <x:c r="G3" s="36"/>
      <x:c r="H3" s="36" t="n">
        <x:v>46248</x:v>
      </x:c>
      <x:c r="I3" s="26" t="str">
        <x:v>A1_OFFICIAL_MARKET</x:v>
      </x:c>
      <x:c r="J3" s="26" t="str">
        <x:v>ACTIVE</x:v>
      </x:c>
      <x:c r="K3" s="26" t="str">
        <x:v>Confirms 2026 Egea Sedan 1.6 M.Jet 130 HP campaign.</x:v>
      </x:c>
      <x:c r="L3" s="26" t="str">
        <x:v>https://www.fiat.com.tr/kampanyalar/satis/boyle-firsat-olsa-olsa-egeada-olur</x:v>
      </x:c>
      <x:c r="M3" s="26"/>
      <x:c r="N3" s="26" t="n">
        <x:v>46248</x:v>
      </x:c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SRC-000003</x:v>
      </x:c>
      <x:c r="B4" s="26" t="str">
        <x:v>Toyota Türkiye</x:v>
      </x:c>
      <x:c r="C4" s="26" t="str">
        <x:v>Toyota Corolla Sedan</x:v>
      </x:c>
      <x:c r="D4" s="26" t="str">
        <x:v>OFFICIAL_WEB</x:v>
      </x:c>
      <x:c r="E4" s="26" t="str">
        <x:v>https://www.toyota.com.tr/araba-modelleri/corolla-sedan</x:v>
      </x:c>
      <x:c r="F4" s="26" t="str">
        <x:v>TR</x:v>
      </x:c>
      <x:c r="G4" s="36"/>
      <x:c r="H4" s="36" t="n">
        <x:v>46248</x:v>
      </x:c>
      <x:c r="I4" s="26" t="str">
        <x:v>A1_OFFICIAL_MARKET</x:v>
      </x:c>
      <x:c r="J4" s="26" t="str">
        <x:v>ACTIVE</x:v>
      </x:c>
      <x:c r="K4" s="26" t="str">
        <x:v>Current Corolla Hybrid official model page.</x:v>
      </x:c>
      <x:c r="L4" s="26" t="str">
        <x:v>https://www.toyota.com.tr/araba-modelleri/corolla-sedan</x:v>
      </x:c>
      <x:c r="M4" s="26"/>
      <x:c r="N4" s="26" t="n">
        <x:v>46248</x:v>
      </x:c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SRC-000004</x:v>
      </x:c>
      <x:c r="B5" s="26" t="str">
        <x:v>Suzuki Türkiye</x:v>
      </x:c>
      <x:c r="C5" s="26" t="str">
        <x:v>Vitara Hibrit</x:v>
      </x:c>
      <x:c r="D5" s="26" t="str">
        <x:v>OFFICIAL_WEB</x:v>
      </x:c>
      <x:c r="E5" s="26" t="str">
        <x:v>https://www.suzuki.com.tr/tr/otomobil/vitara-hibrit.html</x:v>
      </x:c>
      <x:c r="F5" s="26" t="str">
        <x:v>TR</x:v>
      </x:c>
      <x:c r="G5" s="36"/>
      <x:c r="H5" s="36" t="n">
        <x:v>46248</x:v>
      </x:c>
      <x:c r="I5" s="26" t="str">
        <x:v>A1_OFFICIAL_MARKET</x:v>
      </x:c>
      <x:c r="J5" s="26" t="str">
        <x:v>ACTIVE</x:v>
      </x:c>
      <x:c r="K5" s="26" t="str">
        <x:v>Current product page.</x:v>
      </x:c>
      <x:c r="L5" s="26" t="str">
        <x:v>https://www.suzuki.com.tr/tr/otomobil/vitara-hibrit.html</x:v>
      </x:c>
      <x:c r="M5" s="26"/>
      <x:c r="N5" s="26" t="n">
        <x:v>46248</x:v>
      </x:c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SRC-000005</x:v>
      </x:c>
      <x:c r="B6" s="26" t="str">
        <x:v>Suzuki Türkiye</x:v>
      </x:c>
      <x:c r="C6" s="26" t="str">
        <x:v>Suzuki Otomobil Güncel Fiyat Listesi</x:v>
      </x:c>
      <x:c r="D6" s="26" t="str">
        <x:v>OFFICIAL_PRICE_LIST</x:v>
      </x:c>
      <x:c r="E6" s="26" t="str">
        <x:v>https://www.suzuki.com.tr/tr/otomobil/fiyat-listesi.html</x:v>
      </x:c>
      <x:c r="F6" s="26" t="str">
        <x:v>TR</x:v>
      </x:c>
      <x:c r="G6" s="36"/>
      <x:c r="H6" s="36" t="n">
        <x:v>46248</x:v>
      </x:c>
      <x:c r="I6" s="26" t="str">
        <x:v>A1_OFFICIAL_MARKET</x:v>
      </x:c>
      <x:c r="J6" s="26" t="str">
        <x:v>ACTIVE</x:v>
      </x:c>
      <x:c r="K6" s="26" t="str">
        <x:v>2026 configurations including MHEV/AllGrip.</x:v>
      </x:c>
      <x:c r="L6" s="26" t="str">
        <x:v>https://www.suzuki.com.tr/tr/otomobil/fiyat-listesi.html</x:v>
      </x:c>
      <x:c r="M6" s="26"/>
      <x:c r="N6" s="26" t="n">
        <x:v>46248</x:v>
      </x:c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SRC-000006</x:v>
      </x:c>
      <x:c r="B7" s="26" t="str">
        <x:v>BYD Türkiye</x:v>
      </x:c>
      <x:c r="C7" s="26" t="str">
        <x:v>BYD SEAL U DM-i</x:v>
      </x:c>
      <x:c r="D7" s="26" t="str">
        <x:v>OFFICIAL_TECH_SPEC</x:v>
      </x:c>
      <x:c r="E7" s="26" t="str">
        <x:v>https://www.bydauto.com.tr/sealu-dmi</x:v>
      </x:c>
      <x:c r="F7" s="26" t="str">
        <x:v>TR</x:v>
      </x:c>
      <x:c r="G7" s="36"/>
      <x:c r="H7" s="36" t="n">
        <x:v>46248</x:v>
      </x:c>
      <x:c r="I7" s="26" t="str">
        <x:v>A1_OFFICIAL_MARKET</x:v>
      </x:c>
      <x:c r="J7" s="26" t="str">
        <x:v>ACTIVE</x:v>
      </x:c>
      <x:c r="K7" s="26" t="str">
        <x:v>Structured technical values on official product page.</x:v>
      </x:c>
      <x:c r="L7" s="26" t="str">
        <x:v>https://www.bydauto.com.tr/sealu-dmi</x:v>
      </x:c>
      <x:c r="M7" s="26"/>
      <x:c r="N7" s="26" t="n">
        <x:v>46248</x:v>
      </x:c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SRC-000007</x:v>
      </x:c>
      <x:c r="B8" s="26" t="str">
        <x:v>Kia Türkiye</x:v>
      </x:c>
      <x:c r="C8" s="26" t="str">
        <x:v>2026 Model Fiyat Listesi</x:v>
      </x:c>
      <x:c r="D8" s="26" t="str">
        <x:v>OFFICIAL_PRICE_LIST</x:v>
      </x:c>
      <x:c r="E8" s="26" t="str">
        <x:v>https://kia.com.tr/satis-merkezi/fiyat-listesi</x:v>
      </x:c>
      <x:c r="F8" s="26" t="str">
        <x:v>TR</x:v>
      </x:c>
      <x:c r="G8" s="36" t="n">
        <x:v>46247</x:v>
      </x:c>
      <x:c r="H8" s="36" t="n">
        <x:v>46248</x:v>
      </x:c>
      <x:c r="I8" s="26" t="str">
        <x:v>A1_OFFICIAL_MARKET</x:v>
      </x:c>
      <x:c r="J8" s="26" t="str">
        <x:v>ACTIVE</x:v>
      </x:c>
      <x:c r="K8" s="26" t="str">
        <x:v>Official list valid from 13 Aug 2026; EV3 configurations listed.</x:v>
      </x:c>
      <x:c r="L8" s="26" t="str">
        <x:v>https://kia.com.tr/satis-merkezi/fiyat-listesi</x:v>
      </x:c>
      <x:c r="M8" s="26" t="str">
        <x:v>published-46247</x:v>
      </x:c>
      <x:c r="N8" s="26" t="n">
        <x:v>46248</x:v>
      </x:c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SRC-000008</x:v>
      </x:c>
      <x:c r="B9" s="26" t="str">
        <x:v>Togg</x:v>
      </x:c>
      <x:c r="C9" s="26" t="str">
        <x:v>T10X</x:v>
      </x:c>
      <x:c r="D9" s="26" t="str">
        <x:v>OFFICIAL_TECH_SPEC</x:v>
      </x:c>
      <x:c r="E9" s="26" t="str">
        <x:v>https://www.togg.com.tr/t10x</x:v>
      </x:c>
      <x:c r="F9" s="26" t="str">
        <x:v>TR</x:v>
      </x:c>
      <x:c r="G9" s="36"/>
      <x:c r="H9" s="36" t="n">
        <x:v>46248</x:v>
      </x:c>
      <x:c r="I9" s="26" t="str">
        <x:v>A1_OFFICIAL_MARKET</x:v>
      </x:c>
      <x:c r="J9" s="26" t="str">
        <x:v>ACTIVE</x:v>
      </x:c>
      <x:c r="K9" s="26" t="str">
        <x:v>Official T10X product/technical highlights.</x:v>
      </x:c>
      <x:c r="L9" s="26" t="str">
        <x:v>https://www.togg.com.tr/t10x</x:v>
      </x:c>
      <x:c r="M9" s="26"/>
      <x:c r="N9" s="26" t="n">
        <x:v>46248</x:v>
      </x:c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SRC-000009</x:v>
      </x:c>
      <x:c r="B10" s="26" t="str">
        <x:v>Dacia Türkiye</x:v>
      </x:c>
      <x:c r="C10" s="26" t="str">
        <x:v>Yeni Sandero Stepway</x:v>
      </x:c>
      <x:c r="D10" s="26" t="str">
        <x:v>OFFICIAL_WEB</x:v>
      </x:c>
      <x:c r="E10" s="26" t="str">
        <x:v>https://www.dacia.com.tr/modeller/yeni-sandero-stepway-bi1-ph2.html</x:v>
      </x:c>
      <x:c r="F10" s="26" t="str">
        <x:v>TR</x:v>
      </x:c>
      <x:c r="G10" s="36"/>
      <x:c r="H10" s="36" t="n">
        <x:v>46248</x:v>
      </x:c>
      <x:c r="I10" s="26" t="str">
        <x:v>A1_OFFICIAL_MARKET</x:v>
      </x:c>
      <x:c r="J10" s="26" t="str">
        <x:v>ACTIVE</x:v>
      </x:c>
      <x:c r="K10" s="26" t="str">
        <x:v>Official model page, Eco-G 120 EDC and equipment context.</x:v>
      </x:c>
      <x:c r="L10" s="26" t="str">
        <x:v>https://www.dacia.com.tr/modeller/yeni-sandero-stepway-bi1-ph2.html</x:v>
      </x:c>
      <x:c r="M10" s="26"/>
      <x:c r="N10" s="26" t="n">
        <x:v>46248</x:v>
      </x:c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SRC-000010</x:v>
      </x:c>
      <x:c r="B11" s="26" t="str">
        <x:v>Dacia Türkiye</x:v>
      </x:c>
      <x:c r="C11" s="26" t="str">
        <x:v>Ağustos 2026 Satış Kampanyaları</x:v>
      </x:c>
      <x:c r="D11" s="26" t="str">
        <x:v>OFFICIAL_WEB</x:v>
      </x:c>
      <x:c r="E11" s="26" t="str">
        <x:v>https://www.dacia.com.tr/kampanyalar/satis-kampanyalari.html</x:v>
      </x:c>
      <x:c r="F11" s="26" t="str">
        <x:v>TR</x:v>
      </x:c>
      <x:c r="G11" s="36"/>
      <x:c r="H11" s="36" t="n">
        <x:v>46248</x:v>
      </x:c>
      <x:c r="I11" s="26" t="str">
        <x:v>A1_OFFICIAL_MARKET</x:v>
      </x:c>
      <x:c r="J11" s="26" t="str">
        <x:v>ACTIVE</x:v>
      </x:c>
      <x:c r="K11" s="26" t="str">
        <x:v>Confirms MY2026 Sandero Stepway Expression Eco-G 120 auto.</x:v>
      </x:c>
      <x:c r="L11" s="26" t="str">
        <x:v>https://www.dacia.com.tr/kampanyalar/satis-kampanyalari.html</x:v>
      </x:c>
      <x:c r="M11" s="26"/>
      <x:c r="N11" s="26" t="n">
        <x:v>46248</x:v>
      </x:c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SRC-000011</x:v>
      </x:c>
      <x:c r="B12" s="26" t="str">
        <x:v>Renault Türkiye</x:v>
      </x:c>
      <x:c r="C12" s="26" t="str">
        <x:v>Yeni Renault Clio — Teknik Özellikler</x:v>
      </x:c>
      <x:c r="D12" s="26" t="str">
        <x:v>OFFICIAL_TECH_SPEC</x:v>
      </x:c>
      <x:c r="E12" s="26" t="str">
        <x:v>https://www.renault.com.tr/hybrid-araclar/yeni-clio/teknik-bilgiler.html</x:v>
      </x:c>
      <x:c r="F12" s="26" t="str">
        <x:v>TR</x:v>
      </x:c>
      <x:c r="G12" s="36"/>
      <x:c r="H12" s="36" t="n">
        <x:v>46248</x:v>
      </x:c>
      <x:c r="I12" s="26" t="str">
        <x:v>A1_OFFICIAL_MARKET</x:v>
      </x:c>
      <x:c r="J12" s="26" t="str">
        <x:v>ACTIVE</x:v>
      </x:c>
      <x:c r="K12" s="26" t="str">
        <x:v>TCe EDC 115 evolution plus technical/equipment page.</x:v>
      </x:c>
      <x:c r="L12" s="26" t="str">
        <x:v>https://www.renault.com.tr/hybrid-araclar/yeni-clio/teknik-bilgiler.html</x:v>
      </x:c>
      <x:c r="M12" s="26"/>
      <x:c r="N12" s="26" t="n">
        <x:v>46248</x:v>
      </x:c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SRC-000012</x:v>
      </x:c>
      <x:c r="B13" s="26" t="str">
        <x:v>Fiat Türkiye</x:v>
      </x:c>
      <x:c r="C13" s="26" t="str">
        <x:v>Fiat Egea Sedan — Model, Versiyonlar ve Teknik Özellikler</x:v>
      </x:c>
      <x:c r="D13" s="26" t="str">
        <x:v>OFFICIAL_TECH_SPEC</x:v>
      </x:c>
      <x:c r="E13" s="26" t="str">
        <x:v>https://www.fiat.com.tr/modeller/egea/sedan</x:v>
      </x:c>
      <x:c r="F13" s="26" t="str">
        <x:v>TR</x:v>
      </x:c>
      <x:c r="G13" s="36"/>
      <x:c r="H13" s="36" t="n">
        <x:v>46248</x:v>
      </x:c>
      <x:c r="I13" s="26" t="str">
        <x:v>A1_OFFICIAL_MARKET</x:v>
      </x:c>
      <x:c r="J13" s="26" t="str">
        <x:v>ACTIVE</x:v>
      </x:c>
      <x:c r="K13" s="26" t="str">
        <x:v>Engine, dimensions and trim equipment.</x:v>
      </x:c>
      <x:c r="L13" s="26" t="str">
        <x:v>https://www.fiat.com.tr/modeller/egea/sedan</x:v>
      </x:c>
      <x:c r="M13" s="26"/>
      <x:c r="N13" s="26" t="n">
        <x:v>46248</x:v>
      </x:c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SRC-000013</x:v>
      </x:c>
      <x:c r="B14" s="26" t="str">
        <x:v>Toyota Türkiye</x:v>
      </x:c>
      <x:c r="C14" s="26" t="str">
        <x:v>Corolla Teknik ve Donanım Özellikleri — 01/2026</x:v>
      </x:c>
      <x:c r="D14" s="26" t="str">
        <x:v>OFFICIAL_BROCHURE</x:v>
      </x:c>
      <x:c r="E14" s="26" t="str">
        <x:v>https://www.toyota.com.tr/content/dam/toyota/nmsc/turkey/cars/e-brosur/corolla/Corolla-Teknik-ve-Donanim-Ozellikleri-01-2026.pdf</x:v>
      </x:c>
      <x:c r="F14" s="26" t="str">
        <x:v>TR</x:v>
      </x:c>
      <x:c r="G14" s="36" t="n">
        <x:v>46023</x:v>
      </x:c>
      <x:c r="H14" s="36" t="n">
        <x:v>46248</x:v>
      </x:c>
      <x:c r="I14" s="26" t="str">
        <x:v>A1_OFFICIAL_MARKET</x:v>
      </x:c>
      <x:c r="J14" s="26" t="str">
        <x:v>ACTIVE</x:v>
      </x:c>
      <x:c r="K14" s="26" t="str">
        <x:v>Official Jan 2026 Corolla brochure.</x:v>
      </x:c>
      <x:c r="L14" s="26" t="str">
        <x:v>https://www.toyota.com.tr/content/dam/toyota/nmsc/turkey/cars/e-brosur/corolla/Corolla-Teknik-ve-Donanim-Ozellikleri-01-2026.pdf</x:v>
      </x:c>
      <x:c r="M14" s="26" t="str">
        <x:v>published-46023</x:v>
      </x:c>
      <x:c r="N14" s="26" t="n">
        <x:v>46248</x:v>
      </x:c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SRC-000015</x:v>
      </x:c>
      <x:c r="B15" s="26" t="str">
        <x:v>BYD Türkiye</x:v>
      </x:c>
      <x:c r="C15" s="26" t="str">
        <x:v>SEAL U DM-i Teknik Broşür — Mart 2026</x:v>
      </x:c>
      <x:c r="D15" s="26" t="str">
        <x:v>OFFICIAL_BROCHURE</x:v>
      </x:c>
      <x:c r="E15" s="26" t="str">
        <x:v>https://bydauto.mncdn.com/storage/pdf/byd-sealudmi-teknik-brosur-mart-2026.pdf</x:v>
      </x:c>
      <x:c r="F15" s="26" t="str">
        <x:v>TR</x:v>
      </x:c>
      <x:c r="G15" s="36" t="n">
        <x:v>46092</x:v>
      </x:c>
      <x:c r="H15" s="36" t="n">
        <x:v>46248</x:v>
      </x:c>
      <x:c r="I15" s="26" t="str">
        <x:v>A1_OFFICIAL_MARKET</x:v>
      </x:c>
      <x:c r="J15" s="26" t="str">
        <x:v>ACTIVE</x:v>
      </x:c>
      <x:c r="K15" s="26" t="str">
        <x:v>Official detailed technical/equipment brochure.</x:v>
      </x:c>
      <x:c r="L15" s="26" t="str">
        <x:v>https://bydauto.mncdn.com/storage/pdf/byd-sealudmi-teknik-brosur-mart-2026.pdf</x:v>
      </x:c>
      <x:c r="M15" s="26" t="str">
        <x:v>published-46092</x:v>
      </x:c>
      <x:c r="N15" s="26" t="n">
        <x:v>46248</x:v>
      </x:c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SRC-000016</x:v>
      </x:c>
      <x:c r="B16" s="26" t="str">
        <x:v>Kia Türkiye</x:v>
      </x:c>
      <x:c r="C16" s="26" t="str">
        <x:v>EV3 — Özellikler</x:v>
      </x:c>
      <x:c r="D16" s="26" t="str">
        <x:v>OFFICIAL_WEB</x:v>
      </x:c>
      <x:c r="E16" s="26" t="str">
        <x:v>https://www.kia.com/tr/modeller/ev3/ozellikler.html</x:v>
      </x:c>
      <x:c r="F16" s="26" t="str">
        <x:v>TR</x:v>
      </x:c>
      <x:c r="G16" s="36"/>
      <x:c r="H16" s="36" t="n">
        <x:v>46248</x:v>
      </x:c>
      <x:c r="I16" s="26" t="str">
        <x:v>A1_OFFICIAL_MARKET</x:v>
      </x:c>
      <x:c r="J16" s="26" t="str">
        <x:v>ACTIVE</x:v>
      </x:c>
      <x:c r="K16" s="26" t="str">
        <x:v>Current EV3 trims and equipment hierarchy.</x:v>
      </x:c>
      <x:c r="L16" s="26" t="str">
        <x:v>https://www.kia.com/tr/modeller/ev3/ozellikler.html</x:v>
      </x:c>
      <x:c r="M16" s="26"/>
      <x:c r="N16" s="26" t="n">
        <x:v>46248</x:v>
      </x:c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SRC-000017</x:v>
      </x:c>
      <x:c r="B17" s="26" t="str">
        <x:v>Kia Türkiye</x:v>
      </x:c>
      <x:c r="C17" s="26" t="str">
        <x:v>EV3 — Teknik Özellikler</x:v>
      </x:c>
      <x:c r="D17" s="26" t="str">
        <x:v>OFFICIAL_TECH_SPEC</x:v>
      </x:c>
      <x:c r="E17" s="26" t="str">
        <x:v>https://www.kia.com/tr/modeller/ev3/teknik-ozellikler.html</x:v>
      </x:c>
      <x:c r="F17" s="26" t="str">
        <x:v>TR</x:v>
      </x:c>
      <x:c r="G17" s="36"/>
      <x:c r="H17" s="36" t="n">
        <x:v>46248</x:v>
      </x:c>
      <x:c r="I17" s="26" t="str">
        <x:v>A1_OFFICIAL_MARKET</x:v>
      </x:c>
      <x:c r="J17" s="26" t="str">
        <x:v>ACTIVE</x:v>
      </x:c>
      <x:c r="K17" s="26" t="str">
        <x:v>Dimensions, battery, range, consumption, cargo.</x:v>
      </x:c>
      <x:c r="L17" s="26" t="str">
        <x:v>https://www.kia.com/tr/modeller/ev3/teknik-ozellikler.html</x:v>
      </x:c>
      <x:c r="M17" s="26"/>
      <x:c r="N17" s="26" t="n">
        <x:v>46248</x:v>
      </x:c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SRC-000019</x:v>
      </x:c>
      <x:c r="B18" s="26" t="str">
        <x:v>Togg</x:v>
      </x:c>
      <x:c r="C18" s="26" t="str">
        <x:v>T10X Media Center — Technical Specifications</x:v>
      </x:c>
      <x:c r="D18" s="26" t="str">
        <x:v>OFFICIAL_TECH_SPEC</x:v>
      </x:c>
      <x:c r="E18" s="26" t="str">
        <x:v>https://mediacenter.togg.com.tr/t10x</x:v>
      </x:c>
      <x:c r="F18" s="26" t="str">
        <x:v>TR</x:v>
      </x:c>
      <x:c r="G18" s="36"/>
      <x:c r="H18" s="36" t="n">
        <x:v>46248</x:v>
      </x:c>
      <x:c r="I18" s="26" t="str">
        <x:v>A1_OFFICIAL_MARKET</x:v>
      </x:c>
      <x:c r="J18" s="26" t="str">
        <x:v>ACTIVE</x:v>
      </x:c>
      <x:c r="K18" s="26" t="str">
        <x:v>Current V2 figures.</x:v>
      </x:c>
      <x:c r="L18" s="26" t="str">
        <x:v>https://mediacenter.togg.com.tr/t10x</x:v>
      </x:c>
      <x:c r="M18" s="26"/>
      <x:c r="N18" s="26" t="n">
        <x:v>46248</x:v>
      </x:c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SRC-000020</x:v>
      </x:c>
      <x:c r="B19" s="26" t="str">
        <x:v>Dacia Türkiye</x:v>
      </x:c>
      <x:c r="C19" s="26" t="str">
        <x:v>Yeni Sandero Stepway — Karşılaştırma</x:v>
      </x:c>
      <x:c r="D19" s="26" t="str">
        <x:v>OFFICIAL_TECH_SPEC</x:v>
      </x:c>
      <x:c r="E19" s="26" t="str">
        <x:v>https://www.dacia.com.tr/modeller/yeni-sandero-stepway-bi1-ph2/karsilastirma.html</x:v>
      </x:c>
      <x:c r="F19" s="26" t="str">
        <x:v>TR</x:v>
      </x:c>
      <x:c r="G19" s="36"/>
      <x:c r="H19" s="36" t="n">
        <x:v>46248</x:v>
      </x:c>
      <x:c r="I19" s="26" t="str">
        <x:v>A1_OFFICIAL_MARKET</x:v>
      </x:c>
      <x:c r="J19" s="26" t="str">
        <x:v>ACTIVE</x:v>
      </x:c>
      <x:c r="K19" s="26" t="str">
        <x:v>Expression Eco-G 120 auto technical details.</x:v>
      </x:c>
      <x:c r="L19" s="26" t="str">
        <x:v>https://www.dacia.com.tr/modeller/yeni-sandero-stepway-bi1-ph2/karsilastirma.html</x:v>
      </x:c>
      <x:c r="M19" s="26"/>
      <x:c r="N19" s="26" t="n">
        <x:v>46248</x:v>
      </x:c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SRC-000021</x:v>
      </x:c>
      <x:c r="B20" s="26" t="str">
        <x:v>Dacia Türkiye</x:v>
      </x:c>
      <x:c r="C20" s="26" t="str">
        <x:v>Yeni Sandero Stepway — Konfigüratör</x:v>
      </x:c>
      <x:c r="D20" s="26" t="str">
        <x:v>OFFICIAL_WEB</x:v>
      </x:c>
      <x:c r="E20" s="26" t="str">
        <x:v>https://www.dacia.com.tr/modeller/yeni-sandero-stepway-bi1-ph2/konfigurator-yeni.html</x:v>
      </x:c>
      <x:c r="F20" s="26" t="str">
        <x:v>TR</x:v>
      </x:c>
      <x:c r="G20" s="36"/>
      <x:c r="H20" s="36" t="n">
        <x:v>46248</x:v>
      </x:c>
      <x:c r="I20" s="26" t="str">
        <x:v>A1_OFFICIAL_MARKET</x:v>
      </x:c>
      <x:c r="J20" s="26" t="str">
        <x:v>ACTIVE</x:v>
      </x:c>
      <x:c r="K20" s="26" t="str">
        <x:v>Expression equipment list.</x:v>
      </x:c>
      <x:c r="L20" s="26" t="str">
        <x:v>https://www.dacia.com.tr/modeller/yeni-sandero-stepway-bi1-ph2/konfigurator-yeni.html</x:v>
      </x:c>
      <x:c r="M20" s="26"/>
      <x:c r="N20" s="26" t="n">
        <x:v>46248</x:v>
      </x:c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SRC-000022</x:v>
      </x:c>
      <x:c r="B21" s="26" t="str">
        <x:v>Fiat Türkiye</x:v>
      </x:c>
      <x:c r="C21" s="26" t="str">
        <x:v>Egea Sedan 2026 Model Yılı Fiyat Listesi</x:v>
      </x:c>
      <x:c r="D21" s="26" t="str">
        <x:v>OFFICIAL_PRICE_LIST</x:v>
      </x:c>
      <x:c r="E21" s="26" t="str">
        <x:v>https://www.fiat.com.tr/otomobil-fiyat-listesi</x:v>
      </x:c>
      <x:c r="F21" s="26" t="str">
        <x:v>TR</x:v>
      </x:c>
      <x:c r="G21" s="36"/>
      <x:c r="H21" s="36" t="n">
        <x:v>46248</x:v>
      </x:c>
      <x:c r="I21" s="26" t="str">
        <x:v>A1_OFFICIAL_MARKET</x:v>
      </x:c>
      <x:c r="J21" s="26" t="str">
        <x:v>ACTIVE</x:v>
      </x:c>
      <x:c r="K21" s="26" t="str">
        <x:v>Current 2026 price list identifies Easy 1.6 Manual Diesel; used to resolve pilot to exact manual configuration.</x:v>
      </x:c>
      <x:c r="L21" s="26" t="str">
        <x:v>https://www.fiat.com.tr/otomobil-fiyat-listesi</x:v>
      </x:c>
      <x:c r="M21" s="26"/>
      <x:c r="N21" s="26" t="n">
        <x:v>46248</x:v>
      </x:c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SRC-000023</x:v>
      </x:c>
      <x:c r="B22" s="26" t="str">
        <x:v>Togg</x:v>
      </x:c>
      <x:c r="C22" s="26" t="str">
        <x:v>T10X Fiyat Listesi</x:v>
      </x:c>
      <x:c r="D22" s="26" t="str">
        <x:v>OFFICIAL_PRICE_LIST</x:v>
      </x:c>
      <x:c r="E22" s="26" t="str">
        <x:v>https://www.togg.com.tr/price-list</x:v>
      </x:c>
      <x:c r="F22" s="26" t="str">
        <x:v>TR</x:v>
      </x:c>
      <x:c r="G22" s="36" t="n">
        <x:v>46188</x:v>
      </x:c>
      <x:c r="H22" s="36" t="n">
        <x:v>46248</x:v>
      </x:c>
      <x:c r="I22" s="26" t="str">
        <x:v>A1_OFFICIAL_MARKET</x:v>
      </x:c>
      <x:c r="J22" s="26" t="str">
        <x:v>ACTIVE</x:v>
      </x:c>
      <x:c r="K22" s="26" t="str">
        <x:v>Lists V2 RWD Uzun Menzil as a current T10X version.</x:v>
      </x:c>
      <x:c r="L22" s="26" t="str">
        <x:v>https://www.togg.com.tr/price-list</x:v>
      </x:c>
      <x:c r="M22" s="26" t="str">
        <x:v>published-46188</x:v>
      </x:c>
      <x:c r="N22" s="26" t="n">
        <x:v>46248</x:v>
      </x:c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SRC-000024</x:v>
      </x:c>
      <x:c r="B23" s="26" t="str">
        <x:v>Togg</x:v>
      </x:c>
      <x:c r="C23" s="26" t="str">
        <x:v>T10X ADAS Bilgilendirme</x:v>
      </x:c>
      <x:c r="D23" s="26" t="str">
        <x:v>OFFICIAL_WEB</x:v>
      </x:c>
      <x:c r="E23" s="26" t="str">
        <x:v>https://www.togg.com.tr/adas-info</x:v>
      </x:c>
      <x:c r="F23" s="26" t="str">
        <x:v>TR</x:v>
      </x:c>
      <x:c r="G23" s="36"/>
      <x:c r="H23" s="36" t="n">
        <x:v>46248</x:v>
      </x:c>
      <x:c r="I23" s="26" t="str">
        <x:v>A1_OFFICIAL_MARKET</x:v>
      </x:c>
      <x:c r="J23" s="26" t="str">
        <x:v>ACTIVE</x:v>
      </x:c>
      <x:c r="K23" s="26" t="str">
        <x:v>ACC standard on all T10X produced April 2025 onward; some functions temporarily deactivated.</x:v>
      </x:c>
      <x:c r="L23" s="26" t="str">
        <x:v>https://www.togg.com.tr/adas-info</x:v>
      </x:c>
      <x:c r="M23" s="26"/>
      <x:c r="N23" s="26" t="n">
        <x:v>46248</x:v>
      </x:c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SRC-000025</x:v>
      </x:c>
      <x:c r="B24" s="26" t="str">
        <x:v>Dacia Türkiye</x:v>
      </x:c>
      <x:c r="C24" s="26" t="str">
        <x:v>Yeni Sandero Stepway — Boyutlar</x:v>
      </x:c>
      <x:c r="D24" s="26" t="str">
        <x:v>OFFICIAL_TECH_SPEC</x:v>
      </x:c>
      <x:c r="E24" s="26" t="str">
        <x:v>https://www.dacia.com.tr/modeller/yeni-sandero-stepway-bi1-ph2/boyutlar.html</x:v>
      </x:c>
      <x:c r="F24" s="26" t="str">
        <x:v>TR</x:v>
      </x:c>
      <x:c r="G24" s="36"/>
      <x:c r="H24" s="36" t="n">
        <x:v>46248</x:v>
      </x:c>
      <x:c r="I24" s="26" t="str">
        <x:v>A1_OFFICIAL_MARKET</x:v>
      </x:c>
      <x:c r="J24" s="26" t="str">
        <x:v>ACTIVE</x:v>
      </x:c>
      <x:c r="K24" s="26" t="str">
        <x:v>Official cargo-volume table: 328 dm3 VDA / 410 L minimum; 1108 dm3 VDA / 1455 L maximum.</x:v>
      </x:c>
      <x:c r="L24" s="26" t="str">
        <x:v>https://www.dacia.com.tr/modeller/yeni-sandero-stepway-bi1-ph2/boyutlar.html</x:v>
      </x:c>
      <x:c r="M24" s="26"/>
      <x:c r="N24" s="26" t="n">
        <x:v>46248</x:v>
      </x:c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/>
      <x:c r="B25" s="26"/>
      <x:c r="C25" s="26"/>
      <x:c r="D25" s="26"/>
      <x:c r="E25" s="26"/>
      <x:c r="F25" s="26"/>
      <x:c r="G25" s="36"/>
      <x:c r="H25" s="3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/>
      <x:c r="B26" s="26"/>
      <x:c r="C26" s="26"/>
      <x:c r="D26" s="26"/>
      <x:c r="E26" s="26"/>
      <x:c r="F26" s="26"/>
      <x:c r="G26" s="36"/>
      <x:c r="H26" s="3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/>
      <x:c r="B27" s="26"/>
      <x:c r="C27" s="26"/>
      <x:c r="D27" s="26"/>
      <x:c r="E27" s="26"/>
      <x:c r="F27" s="26"/>
      <x:c r="G27" s="36"/>
      <x:c r="H27" s="3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/>
      <x:c r="B28" s="26"/>
      <x:c r="C28" s="26"/>
      <x:c r="D28" s="26"/>
      <x:c r="E28" s="26"/>
      <x:c r="F28" s="26"/>
      <x:c r="G28" s="36"/>
      <x:c r="H28" s="3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/>
      <x:c r="B29" s="26"/>
      <x:c r="C29" s="26"/>
      <x:c r="D29" s="26"/>
      <x:c r="E29" s="26"/>
      <x:c r="F29" s="26"/>
      <x:c r="G29" s="36"/>
      <x:c r="H29" s="3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/>
      <x:c r="B30" s="26"/>
      <x:c r="C30" s="26"/>
      <x:c r="D30" s="26"/>
      <x:c r="E30" s="26"/>
      <x:c r="F30" s="26"/>
      <x:c r="G30" s="36"/>
      <x:c r="H30" s="3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/>
      <x:c r="B31" s="26"/>
      <x:c r="C31" s="26"/>
      <x:c r="D31" s="26"/>
      <x:c r="E31" s="26"/>
      <x:c r="F31" s="26"/>
      <x:c r="G31" s="36"/>
      <x:c r="H31" s="3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/>
      <x:c r="B32" s="26"/>
      <x:c r="C32" s="26"/>
      <x:c r="D32" s="26"/>
      <x:c r="E32" s="26"/>
      <x:c r="F32" s="26"/>
      <x:c r="G32" s="36"/>
      <x:c r="H32" s="3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/>
      <x:c r="B33" s="26"/>
      <x:c r="C33" s="26"/>
      <x:c r="D33" s="26"/>
      <x:c r="E33" s="26"/>
      <x:c r="F33" s="26"/>
      <x:c r="G33" s="36"/>
      <x:c r="H33" s="3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26"/>
      <x:c r="C34" s="26"/>
      <x:c r="D34" s="26"/>
      <x:c r="E34" s="26"/>
      <x:c r="F34" s="26"/>
      <x:c r="G34" s="36"/>
      <x:c r="H34" s="3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/>
      <x:c r="B35" s="26"/>
      <x:c r="C35" s="26"/>
      <x:c r="D35" s="26"/>
      <x:c r="E35" s="26"/>
      <x:c r="F35" s="26"/>
      <x:c r="G35" s="36"/>
      <x:c r="H35" s="3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/>
      <x:c r="C36" s="26"/>
      <x:c r="D36" s="26"/>
      <x:c r="E36" s="26"/>
      <x:c r="F36" s="26"/>
      <x:c r="G36" s="36"/>
      <x:c r="H36" s="3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26"/>
      <x:c r="C37" s="26"/>
      <x:c r="D37" s="26"/>
      <x:c r="E37" s="26"/>
      <x:c r="F37" s="26"/>
      <x:c r="G37" s="36"/>
      <x:c r="H37" s="3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/>
      <x:c r="B38" s="26"/>
      <x:c r="C38" s="26"/>
      <x:c r="D38" s="26"/>
      <x:c r="E38" s="26"/>
      <x:c r="F38" s="26"/>
      <x:c r="G38" s="36"/>
      <x:c r="H38" s="3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/>
      <x:c r="C39" s="26"/>
      <x:c r="D39" s="26"/>
      <x:c r="E39" s="26"/>
      <x:c r="F39" s="26"/>
      <x:c r="G39" s="36"/>
      <x:c r="H39" s="3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26"/>
      <x:c r="C40" s="26"/>
      <x:c r="D40" s="26"/>
      <x:c r="E40" s="26"/>
      <x:c r="F40" s="26"/>
      <x:c r="G40" s="36"/>
      <x:c r="H40" s="3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/>
      <x:c r="B41" s="26"/>
      <x:c r="C41" s="26"/>
      <x:c r="D41" s="26"/>
      <x:c r="E41" s="26"/>
      <x:c r="F41" s="26"/>
      <x:c r="G41" s="36"/>
      <x:c r="H41" s="3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/>
      <x:c r="C42" s="26"/>
      <x:c r="D42" s="26"/>
      <x:c r="E42" s="26"/>
      <x:c r="F42" s="26"/>
      <x:c r="G42" s="36"/>
      <x:c r="H42" s="3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26"/>
      <x:c r="C43" s="26"/>
      <x:c r="D43" s="26"/>
      <x:c r="E43" s="26"/>
      <x:c r="F43" s="26"/>
      <x:c r="G43" s="36"/>
      <x:c r="H43" s="3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/>
      <x:c r="B44" s="26"/>
      <x:c r="C44" s="26"/>
      <x:c r="D44" s="26"/>
      <x:c r="E44" s="26"/>
      <x:c r="F44" s="26"/>
      <x:c r="G44" s="36"/>
      <x:c r="H44" s="3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26"/>
      <x:c r="C45" s="26"/>
      <x:c r="D45" s="26"/>
      <x:c r="E45" s="26"/>
      <x:c r="F45" s="26"/>
      <x:c r="G45" s="36"/>
      <x:c r="H45" s="3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/>
      <x:c r="B46" s="26"/>
      <x:c r="C46" s="26"/>
      <x:c r="D46" s="26"/>
      <x:c r="E46" s="26"/>
      <x:c r="F46" s="26"/>
      <x:c r="G46" s="36"/>
      <x:c r="H46" s="3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26"/>
      <x:c r="C47" s="26"/>
      <x:c r="D47" s="26"/>
      <x:c r="E47" s="26"/>
      <x:c r="F47" s="26"/>
      <x:c r="G47" s="36"/>
      <x:c r="H47" s="3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/>
      <x:c r="B48" s="26"/>
      <x:c r="C48" s="26"/>
      <x:c r="D48" s="26"/>
      <x:c r="E48" s="26"/>
      <x:c r="F48" s="26"/>
      <x:c r="G48" s="36"/>
      <x:c r="H48" s="3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26"/>
      <x:c r="C49" s="26"/>
      <x:c r="D49" s="26"/>
      <x:c r="E49" s="26"/>
      <x:c r="F49" s="26"/>
      <x:c r="G49" s="36"/>
      <x:c r="H49" s="3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36"/>
      <x:c r="H50" s="3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36"/>
      <x:c r="H51" s="3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36"/>
      <x:c r="H52" s="3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36"/>
      <x:c r="H53" s="3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36"/>
      <x:c r="H54" s="3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36"/>
      <x:c r="H55" s="3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36"/>
      <x:c r="H56" s="3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36"/>
      <x:c r="H57" s="3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36"/>
      <x:c r="H58" s="3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36"/>
      <x:c r="H59" s="3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36"/>
      <x:c r="H60" s="3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36"/>
      <x:c r="H61" s="3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36"/>
      <x:c r="H62" s="3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36"/>
      <x:c r="H63" s="3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36"/>
      <x:c r="H64" s="3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36"/>
      <x:c r="H65" s="3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36"/>
      <x:c r="H66" s="3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36"/>
      <x:c r="H67" s="3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36"/>
      <x:c r="H68" s="3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36"/>
      <x:c r="H69" s="3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36"/>
      <x:c r="H70" s="3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36"/>
      <x:c r="H71" s="3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36"/>
      <x:c r="H72" s="3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36"/>
      <x:c r="H73" s="3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36"/>
      <x:c r="H74" s="3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36"/>
      <x:c r="H75" s="3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36"/>
      <x:c r="H76" s="3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36"/>
      <x:c r="H77" s="3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36"/>
      <x:c r="H78" s="3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36"/>
      <x:c r="H79" s="3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36"/>
      <x:c r="H80" s="3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36"/>
      <x:c r="H81" s="3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36"/>
      <x:c r="H82" s="3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36"/>
      <x:c r="H83" s="3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36"/>
      <x:c r="H84" s="3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36"/>
      <x:c r="H85" s="3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36"/>
      <x:c r="H86" s="3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36"/>
      <x:c r="H87" s="3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36"/>
      <x:c r="H88" s="3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36"/>
      <x:c r="H89" s="3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36"/>
      <x:c r="H90" s="3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36"/>
      <x:c r="H91" s="3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36"/>
      <x:c r="H92" s="3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36"/>
      <x:c r="H93" s="3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36"/>
      <x:c r="H94" s="3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36"/>
      <x:c r="H95" s="3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36"/>
      <x:c r="H96" s="3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36"/>
      <x:c r="H97" s="3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36"/>
      <x:c r="H98" s="3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36"/>
      <x:c r="H99" s="3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36"/>
      <x:c r="H100" s="3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36"/>
      <x:c r="H101" s="3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36"/>
      <x:c r="H102" s="3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36"/>
      <x:c r="H103" s="3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36"/>
      <x:c r="H104" s="3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36"/>
      <x:c r="H105" s="3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36"/>
      <x:c r="H106" s="3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36"/>
      <x:c r="H107" s="3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36"/>
      <x:c r="H108" s="3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36"/>
      <x:c r="H109" s="3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36"/>
      <x:c r="H110" s="3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36"/>
      <x:c r="H111" s="3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36"/>
      <x:c r="H112" s="3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36"/>
      <x:c r="H113" s="3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36"/>
      <x:c r="H114" s="3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36"/>
      <x:c r="H115" s="3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36"/>
      <x:c r="H116" s="3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36"/>
      <x:c r="H117" s="3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36"/>
      <x:c r="H118" s="3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36"/>
      <x:c r="H119" s="3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36"/>
      <x:c r="H120" s="3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36"/>
      <x:c r="H121" s="3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36"/>
      <x:c r="H122" s="3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36"/>
      <x:c r="H123" s="3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36"/>
      <x:c r="H124" s="3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36"/>
      <x:c r="H125" s="3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36"/>
      <x:c r="H126" s="3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36"/>
      <x:c r="H127" s="3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36"/>
      <x:c r="H128" s="3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36"/>
      <x:c r="H129" s="3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36"/>
      <x:c r="H130" s="3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36"/>
      <x:c r="H131" s="3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36"/>
      <x:c r="H132" s="3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36"/>
      <x:c r="H133" s="3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36"/>
      <x:c r="H134" s="3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36"/>
      <x:c r="H135" s="3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36"/>
      <x:c r="H136" s="3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36"/>
      <x:c r="H137" s="3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36"/>
      <x:c r="H138" s="3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36"/>
      <x:c r="H139" s="3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36"/>
      <x:c r="H140" s="3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36"/>
      <x:c r="H141" s="3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36"/>
      <x:c r="H142" s="3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36"/>
      <x:c r="H143" s="3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36"/>
      <x:c r="H144" s="3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36"/>
      <x:c r="H145" s="3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36"/>
      <x:c r="H146" s="3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36"/>
      <x:c r="H147" s="3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36"/>
      <x:c r="H148" s="3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36"/>
      <x:c r="H149" s="3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36"/>
      <x:c r="H150" s="3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36"/>
      <x:c r="H151" s="3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36"/>
      <x:c r="H152" s="3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36"/>
      <x:c r="H153" s="3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36"/>
      <x:c r="H154" s="3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36"/>
      <x:c r="H155" s="3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36"/>
      <x:c r="H156" s="3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36"/>
      <x:c r="H157" s="3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36"/>
      <x:c r="H158" s="3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36"/>
      <x:c r="H159" s="3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36"/>
      <x:c r="H160" s="3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36"/>
      <x:c r="H161" s="3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36"/>
      <x:c r="H162" s="3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36"/>
      <x:c r="H163" s="3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36"/>
      <x:c r="H164" s="3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36"/>
      <x:c r="H165" s="3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36"/>
      <x:c r="H166" s="3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36"/>
      <x:c r="H167" s="3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36"/>
      <x:c r="H168" s="3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36"/>
      <x:c r="H169" s="3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36"/>
      <x:c r="H170" s="3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36"/>
      <x:c r="H171" s="3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36"/>
      <x:c r="H172" s="3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36"/>
      <x:c r="H173" s="3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36"/>
      <x:c r="H174" s="3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36"/>
      <x:c r="H175" s="3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36"/>
      <x:c r="H176" s="3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36"/>
      <x:c r="H177" s="3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36"/>
      <x:c r="H178" s="3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36"/>
      <x:c r="H179" s="3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36"/>
      <x:c r="H180" s="3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36"/>
      <x:c r="H181" s="3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36"/>
      <x:c r="H182" s="3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36"/>
      <x:c r="H183" s="3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36"/>
      <x:c r="H184" s="3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36"/>
      <x:c r="H185" s="3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36"/>
      <x:c r="H186" s="3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36"/>
      <x:c r="H187" s="3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36"/>
      <x:c r="H188" s="3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36"/>
      <x:c r="H189" s="3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36"/>
      <x:c r="H190" s="3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36"/>
      <x:c r="H191" s="3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36"/>
      <x:c r="H192" s="3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36"/>
      <x:c r="H193" s="3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36"/>
      <x:c r="H194" s="3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36"/>
      <x:c r="H195" s="3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36"/>
      <x:c r="H196" s="3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36"/>
      <x:c r="H197" s="3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36"/>
      <x:c r="H198" s="3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36"/>
      <x:c r="H199" s="3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36"/>
      <x:c r="H200" s="3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36"/>
      <x:c r="H201" s="36"/>
      <x:c r="I201" s="2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36"/>
      <x:c r="H202" s="36"/>
      <x:c r="I202" s="2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36"/>
      <x:c r="H203" s="36"/>
      <x:c r="I203" s="2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36"/>
      <x:c r="H204" s="36"/>
      <x:c r="I204" s="2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36"/>
      <x:c r="H205" s="36"/>
      <x:c r="I205" s="2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36"/>
      <x:c r="H206" s="36"/>
      <x:c r="I206" s="2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36"/>
      <x:c r="H207" s="36"/>
      <x:c r="I207" s="2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36"/>
      <x:c r="H208" s="36"/>
      <x:c r="I208" s="2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36"/>
      <x:c r="H209" s="36"/>
      <x:c r="I209" s="2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36"/>
      <x:c r="H210" s="36"/>
      <x:c r="I210" s="2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36"/>
      <x:c r="H211" s="36"/>
      <x:c r="I211" s="2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36"/>
      <x:c r="H212" s="36"/>
      <x:c r="I212" s="2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36"/>
      <x:c r="H213" s="36"/>
      <x:c r="I213" s="2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36"/>
      <x:c r="H214" s="36"/>
      <x:c r="I214" s="2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36"/>
      <x:c r="H215" s="36"/>
      <x:c r="I215" s="2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36"/>
      <x:c r="H216" s="36"/>
      <x:c r="I216" s="2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36"/>
      <x:c r="H217" s="36"/>
      <x:c r="I217" s="2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36"/>
      <x:c r="H218" s="36"/>
      <x:c r="I218" s="2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36"/>
      <x:c r="H219" s="36"/>
      <x:c r="I219" s="2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36"/>
      <x:c r="H220" s="36"/>
      <x:c r="I220" s="2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36"/>
      <x:c r="H221" s="36"/>
      <x:c r="I221" s="2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36"/>
      <x:c r="H222" s="36"/>
      <x:c r="I222" s="2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36"/>
      <x:c r="H223" s="36"/>
      <x:c r="I223" s="2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36"/>
      <x:c r="H224" s="36"/>
      <x:c r="I224" s="2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36"/>
      <x:c r="H225" s="36"/>
      <x:c r="I225" s="2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36"/>
      <x:c r="H226" s="36"/>
      <x:c r="I226" s="2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36"/>
      <x:c r="H227" s="36"/>
      <x:c r="I227" s="2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36"/>
      <x:c r="H228" s="36"/>
      <x:c r="I228" s="2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36"/>
      <x:c r="H229" s="36"/>
      <x:c r="I229" s="2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36"/>
      <x:c r="H230" s="36"/>
      <x:c r="I230" s="2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36"/>
      <x:c r="H231" s="36"/>
      <x:c r="I231" s="2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36"/>
      <x:c r="H232" s="36"/>
      <x:c r="I232" s="2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36"/>
      <x:c r="H233" s="36"/>
      <x:c r="I233" s="2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36"/>
      <x:c r="H234" s="36"/>
      <x:c r="I234" s="2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36"/>
      <x:c r="H235" s="36"/>
      <x:c r="I235" s="2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36"/>
      <x:c r="H236" s="36"/>
      <x:c r="I236" s="2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36"/>
      <x:c r="H237" s="36"/>
      <x:c r="I237" s="2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36"/>
      <x:c r="H238" s="36"/>
      <x:c r="I238" s="2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36"/>
      <x:c r="H239" s="36"/>
      <x:c r="I239" s="2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36"/>
      <x:c r="H240" s="36"/>
      <x:c r="I240" s="2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36"/>
      <x:c r="H241" s="36"/>
      <x:c r="I241" s="2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36"/>
      <x:c r="H242" s="36"/>
      <x:c r="I242" s="2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36"/>
      <x:c r="H243" s="36"/>
      <x:c r="I243" s="2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36"/>
      <x:c r="H244" s="36"/>
      <x:c r="I244" s="2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36"/>
      <x:c r="H245" s="36"/>
      <x:c r="I245" s="2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36"/>
      <x:c r="H246" s="36"/>
      <x:c r="I246" s="2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36"/>
      <x:c r="H247" s="36"/>
      <x:c r="I247" s="2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36"/>
      <x:c r="H248" s="36"/>
      <x:c r="I248" s="2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36"/>
      <x:c r="H249" s="36"/>
      <x:c r="I249" s="2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36"/>
      <x:c r="H250" s="36"/>
      <x:c r="I250" s="2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36"/>
      <x:c r="H251" s="36"/>
      <x:c r="I251" s="2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36"/>
      <x:c r="H252" s="36"/>
      <x:c r="I252" s="2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36"/>
      <x:c r="H253" s="36"/>
      <x:c r="I253" s="2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36"/>
      <x:c r="H254" s="36"/>
      <x:c r="I254" s="2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36"/>
      <x:c r="H255" s="36"/>
      <x:c r="I255" s="2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36"/>
      <x:c r="H256" s="36"/>
      <x:c r="I256" s="2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36"/>
      <x:c r="H257" s="36"/>
      <x:c r="I257" s="2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36"/>
      <x:c r="H258" s="36"/>
      <x:c r="I258" s="2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36"/>
      <x:c r="H259" s="36"/>
      <x:c r="I259" s="2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36"/>
      <x:c r="H260" s="36"/>
      <x:c r="I260" s="2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36"/>
      <x:c r="H261" s="36"/>
      <x:c r="I261" s="2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36"/>
      <x:c r="H262" s="36"/>
      <x:c r="I262" s="2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36"/>
      <x:c r="H263" s="36"/>
      <x:c r="I263" s="2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36"/>
      <x:c r="H264" s="36"/>
      <x:c r="I264" s="2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36"/>
      <x:c r="H265" s="36"/>
      <x:c r="I265" s="2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36"/>
      <x:c r="H266" s="36"/>
      <x:c r="I266" s="2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36"/>
      <x:c r="H267" s="36"/>
      <x:c r="I267" s="2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36"/>
      <x:c r="H268" s="36"/>
      <x:c r="I268" s="2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36"/>
      <x:c r="H269" s="36"/>
      <x:c r="I269" s="2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36"/>
      <x:c r="H270" s="36"/>
      <x:c r="I270" s="2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36"/>
      <x:c r="H271" s="36"/>
      <x:c r="I271" s="2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36"/>
      <x:c r="H272" s="36"/>
      <x:c r="I272" s="2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36"/>
      <x:c r="H273" s="36"/>
      <x:c r="I273" s="2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36"/>
      <x:c r="H274" s="36"/>
      <x:c r="I274" s="2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36"/>
      <x:c r="H275" s="36"/>
      <x:c r="I275" s="2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36"/>
      <x:c r="H276" s="36"/>
      <x:c r="I276" s="2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36"/>
      <x:c r="H277" s="36"/>
      <x:c r="I277" s="2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36"/>
      <x:c r="H278" s="36"/>
      <x:c r="I278" s="2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36"/>
      <x:c r="H279" s="36"/>
      <x:c r="I279" s="2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36"/>
      <x:c r="H280" s="36"/>
      <x:c r="I280" s="2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36"/>
      <x:c r="H281" s="36"/>
      <x:c r="I281" s="2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36"/>
      <x:c r="H282" s="36"/>
      <x:c r="I282" s="2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36"/>
      <x:c r="H283" s="36"/>
      <x:c r="I283" s="2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36"/>
      <x:c r="H284" s="36"/>
      <x:c r="I284" s="2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36"/>
      <x:c r="H285" s="36"/>
      <x:c r="I285" s="2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36"/>
      <x:c r="H286" s="36"/>
      <x:c r="I286" s="2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36"/>
      <x:c r="H287" s="36"/>
      <x:c r="I287" s="2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36"/>
      <x:c r="H288" s="36"/>
      <x:c r="I288" s="2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36"/>
      <x:c r="H289" s="36"/>
      <x:c r="I289" s="2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36"/>
      <x:c r="H290" s="36"/>
      <x:c r="I290" s="2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36"/>
      <x:c r="H291" s="36"/>
      <x:c r="I291" s="2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36"/>
      <x:c r="H292" s="36"/>
      <x:c r="I292" s="2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36"/>
      <x:c r="H293" s="36"/>
      <x:c r="I293" s="2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36"/>
      <x:c r="H294" s="36"/>
      <x:c r="I294" s="2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36"/>
      <x:c r="H295" s="36"/>
      <x:c r="I295" s="2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36"/>
      <x:c r="H296" s="36"/>
      <x:c r="I296" s="2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36"/>
      <x:c r="H297" s="36"/>
      <x:c r="I297" s="2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36"/>
      <x:c r="H298" s="36"/>
      <x:c r="I298" s="2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36"/>
      <x:c r="H299" s="36"/>
      <x:c r="I299" s="2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36"/>
      <x:c r="H300" s="36"/>
      <x:c r="I300" s="2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36"/>
      <x:c r="H301" s="36"/>
      <x:c r="I301" s="2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36"/>
      <x:c r="H302" s="36"/>
      <x:c r="I302" s="2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36"/>
      <x:c r="H303" s="36"/>
      <x:c r="I303" s="2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36"/>
      <x:c r="H304" s="36"/>
      <x:c r="I304" s="2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36"/>
      <x:c r="H305" s="36"/>
      <x:c r="I305" s="2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36"/>
      <x:c r="H306" s="36"/>
      <x:c r="I306" s="2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36"/>
      <x:c r="H307" s="36"/>
      <x:c r="I307" s="2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36"/>
      <x:c r="H308" s="36"/>
      <x:c r="I308" s="2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36"/>
      <x:c r="H309" s="36"/>
      <x:c r="I309" s="2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36"/>
      <x:c r="H310" s="36"/>
      <x:c r="I310" s="2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36"/>
      <x:c r="H311" s="36"/>
      <x:c r="I311" s="2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36"/>
      <x:c r="H312" s="36"/>
      <x:c r="I312" s="2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36"/>
      <x:c r="H313" s="36"/>
      <x:c r="I313" s="2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36"/>
      <x:c r="H314" s="36"/>
      <x:c r="I314" s="2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36"/>
      <x:c r="H315" s="36"/>
      <x:c r="I315" s="2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36"/>
      <x:c r="H316" s="36"/>
      <x:c r="I316" s="2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36"/>
      <x:c r="H317" s="36"/>
      <x:c r="I317" s="2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36"/>
      <x:c r="H318" s="36"/>
      <x:c r="I318" s="2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36"/>
      <x:c r="H319" s="36"/>
      <x:c r="I319" s="2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36"/>
      <x:c r="H320" s="36"/>
      <x:c r="I320" s="2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36"/>
      <x:c r="H321" s="36"/>
      <x:c r="I321" s="2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36"/>
      <x:c r="H322" s="36"/>
      <x:c r="I322" s="2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36"/>
      <x:c r="H323" s="36"/>
      <x:c r="I323" s="2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36"/>
      <x:c r="H324" s="36"/>
      <x:c r="I324" s="2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36"/>
      <x:c r="H325" s="36"/>
      <x:c r="I325" s="2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36"/>
      <x:c r="H326" s="36"/>
      <x:c r="I326" s="2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36"/>
      <x:c r="H327" s="36"/>
      <x:c r="I327" s="2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36"/>
      <x:c r="H328" s="36"/>
      <x:c r="I328" s="2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36"/>
      <x:c r="H329" s="36"/>
      <x:c r="I329" s="2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36"/>
      <x:c r="H330" s="36"/>
      <x:c r="I330" s="2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36"/>
      <x:c r="H331" s="36"/>
      <x:c r="I331" s="2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36"/>
      <x:c r="H332" s="36"/>
      <x:c r="I332" s="2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36"/>
      <x:c r="H333" s="36"/>
      <x:c r="I333" s="2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36"/>
      <x:c r="H334" s="36"/>
      <x:c r="I334" s="2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36"/>
      <x:c r="H335" s="36"/>
      <x:c r="I335" s="2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36"/>
      <x:c r="H336" s="36"/>
      <x:c r="I336" s="2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36"/>
      <x:c r="H337" s="36"/>
      <x:c r="I337" s="2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36"/>
      <x:c r="H338" s="36"/>
      <x:c r="I338" s="2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36"/>
      <x:c r="H339" s="36"/>
      <x:c r="I339" s="2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36"/>
      <x:c r="H340" s="36"/>
      <x:c r="I340" s="2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36"/>
      <x:c r="H341" s="36"/>
      <x:c r="I341" s="2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36"/>
      <x:c r="H342" s="36"/>
      <x:c r="I342" s="2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36"/>
      <x:c r="H343" s="36"/>
      <x:c r="I343" s="2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36"/>
      <x:c r="H344" s="36"/>
      <x:c r="I344" s="2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36"/>
      <x:c r="H345" s="36"/>
      <x:c r="I345" s="2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36"/>
      <x:c r="H346" s="36"/>
      <x:c r="I346" s="2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36"/>
      <x:c r="H347" s="36"/>
      <x:c r="I347" s="2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36"/>
      <x:c r="H348" s="36"/>
      <x:c r="I348" s="2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36"/>
      <x:c r="H349" s="36"/>
      <x:c r="I349" s="2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36"/>
      <x:c r="H350" s="36"/>
      <x:c r="I350" s="2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36"/>
      <x:c r="H351" s="36"/>
      <x:c r="I351" s="2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36"/>
      <x:c r="H352" s="36"/>
      <x:c r="I352" s="2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36"/>
      <x:c r="H353" s="36"/>
      <x:c r="I353" s="2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36"/>
      <x:c r="H354" s="36"/>
      <x:c r="I354" s="2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36"/>
      <x:c r="H355" s="36"/>
      <x:c r="I355" s="2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36"/>
      <x:c r="H356" s="36"/>
      <x:c r="I356" s="2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36"/>
      <x:c r="H357" s="36"/>
      <x:c r="I357" s="2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36"/>
      <x:c r="H358" s="36"/>
      <x:c r="I358" s="2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36"/>
      <x:c r="H359" s="36"/>
      <x:c r="I359" s="2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36"/>
      <x:c r="H360" s="36"/>
      <x:c r="I360" s="2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36"/>
      <x:c r="H361" s="36"/>
      <x:c r="I361" s="2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36"/>
      <x:c r="H362" s="36"/>
      <x:c r="I362" s="2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36"/>
      <x:c r="H363" s="36"/>
      <x:c r="I363" s="2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36"/>
      <x:c r="H364" s="36"/>
      <x:c r="I364" s="2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36"/>
      <x:c r="H365" s="36"/>
      <x:c r="I365" s="2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36"/>
      <x:c r="H366" s="36"/>
      <x:c r="I366" s="2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36"/>
      <x:c r="H367" s="36"/>
      <x:c r="I367" s="2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36"/>
      <x:c r="H368" s="36"/>
      <x:c r="I368" s="2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36"/>
      <x:c r="H369" s="36"/>
      <x:c r="I369" s="2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36"/>
      <x:c r="H370" s="36"/>
      <x:c r="I370" s="2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36"/>
      <x:c r="H371" s="36"/>
      <x:c r="I371" s="2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36"/>
      <x:c r="H372" s="36"/>
      <x:c r="I372" s="2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36"/>
      <x:c r="H373" s="36"/>
      <x:c r="I373" s="2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36"/>
      <x:c r="H374" s="36"/>
      <x:c r="I374" s="2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36"/>
      <x:c r="H375" s="36"/>
      <x:c r="I375" s="2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36"/>
      <x:c r="H376" s="36"/>
      <x:c r="I376" s="2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36"/>
      <x:c r="H377" s="36"/>
      <x:c r="I377" s="2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36"/>
      <x:c r="H378" s="36"/>
      <x:c r="I378" s="2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36"/>
      <x:c r="H379" s="36"/>
      <x:c r="I379" s="2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36"/>
      <x:c r="H380" s="36"/>
      <x:c r="I380" s="2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36"/>
      <x:c r="H381" s="36"/>
      <x:c r="I381" s="2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36"/>
      <x:c r="H382" s="36"/>
      <x:c r="I382" s="2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36"/>
      <x:c r="H383" s="36"/>
      <x:c r="I383" s="2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36"/>
      <x:c r="H384" s="36"/>
      <x:c r="I384" s="2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36"/>
      <x:c r="H385" s="36"/>
      <x:c r="I385" s="2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36"/>
      <x:c r="H386" s="36"/>
      <x:c r="I386" s="2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36"/>
      <x:c r="H387" s="36"/>
      <x:c r="I387" s="2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36"/>
      <x:c r="H388" s="36"/>
      <x:c r="I388" s="2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36"/>
      <x:c r="H389" s="36"/>
      <x:c r="I389" s="2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36"/>
      <x:c r="H390" s="36"/>
      <x:c r="I390" s="2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36"/>
      <x:c r="H391" s="36"/>
      <x:c r="I391" s="2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36"/>
      <x:c r="H392" s="36"/>
      <x:c r="I392" s="2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36"/>
      <x:c r="H393" s="36"/>
      <x:c r="I393" s="2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36"/>
      <x:c r="H394" s="36"/>
      <x:c r="I394" s="2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36"/>
      <x:c r="H395" s="36"/>
      <x:c r="I395" s="2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36"/>
      <x:c r="H396" s="36"/>
      <x:c r="I396" s="2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36"/>
      <x:c r="H397" s="36"/>
      <x:c r="I397" s="2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36"/>
      <x:c r="H398" s="36"/>
      <x:c r="I398" s="2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36"/>
      <x:c r="H399" s="36"/>
      <x:c r="I399" s="2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36"/>
      <x:c r="H400" s="36"/>
      <x:c r="I400" s="2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36"/>
      <x:c r="H401" s="36"/>
      <x:c r="I401" s="2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36"/>
      <x:c r="H402" s="36"/>
      <x:c r="I402" s="2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36"/>
      <x:c r="H403" s="36"/>
      <x:c r="I403" s="2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36"/>
      <x:c r="H404" s="36"/>
      <x:c r="I404" s="2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36"/>
      <x:c r="H405" s="36"/>
      <x:c r="I405" s="2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36"/>
      <x:c r="H406" s="36"/>
      <x:c r="I406" s="2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36"/>
      <x:c r="H407" s="36"/>
      <x:c r="I407" s="2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36"/>
      <x:c r="H408" s="36"/>
      <x:c r="I408" s="2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36"/>
      <x:c r="H409" s="36"/>
      <x:c r="I409" s="2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36"/>
      <x:c r="H410" s="36"/>
      <x:c r="I410" s="2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36"/>
      <x:c r="H411" s="36"/>
      <x:c r="I411" s="2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36"/>
      <x:c r="H412" s="36"/>
      <x:c r="I412" s="2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36"/>
      <x:c r="H413" s="36"/>
      <x:c r="I413" s="2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36"/>
      <x:c r="H414" s="36"/>
      <x:c r="I414" s="2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36"/>
      <x:c r="H415" s="36"/>
      <x:c r="I415" s="2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36"/>
      <x:c r="H416" s="36"/>
      <x:c r="I416" s="2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36"/>
      <x:c r="H417" s="36"/>
      <x:c r="I417" s="2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36"/>
      <x:c r="H418" s="36"/>
      <x:c r="I418" s="2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36"/>
      <x:c r="H419" s="36"/>
      <x:c r="I419" s="2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36"/>
      <x:c r="H420" s="36"/>
      <x:c r="I420" s="2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36"/>
      <x:c r="H421" s="36"/>
      <x:c r="I421" s="2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36"/>
      <x:c r="H422" s="36"/>
      <x:c r="I422" s="2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36"/>
      <x:c r="H423" s="36"/>
      <x:c r="I423" s="2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36"/>
      <x:c r="H424" s="36"/>
      <x:c r="I424" s="2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36"/>
      <x:c r="H425" s="36"/>
      <x:c r="I425" s="2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36"/>
      <x:c r="H426" s="36"/>
      <x:c r="I426" s="2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36"/>
      <x:c r="H427" s="36"/>
      <x:c r="I427" s="2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36"/>
      <x:c r="H428" s="36"/>
      <x:c r="I428" s="2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36"/>
      <x:c r="H429" s="36"/>
      <x:c r="I429" s="2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36"/>
      <x:c r="H430" s="36"/>
      <x:c r="I430" s="2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36"/>
      <x:c r="H431" s="36"/>
      <x:c r="I431" s="2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36"/>
      <x:c r="H432" s="36"/>
      <x:c r="I432" s="2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36"/>
      <x:c r="H433" s="36"/>
      <x:c r="I433" s="2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36"/>
      <x:c r="H434" s="36"/>
      <x:c r="I434" s="2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36"/>
      <x:c r="H435" s="36"/>
      <x:c r="I435" s="2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36"/>
      <x:c r="H436" s="36"/>
      <x:c r="I436" s="2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36"/>
      <x:c r="H437" s="36"/>
      <x:c r="I437" s="2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36"/>
      <x:c r="H438" s="36"/>
      <x:c r="I438" s="2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36"/>
      <x:c r="H439" s="36"/>
      <x:c r="I439" s="2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36"/>
      <x:c r="H440" s="36"/>
      <x:c r="I440" s="2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36"/>
      <x:c r="H441" s="36"/>
      <x:c r="I441" s="2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36"/>
      <x:c r="H442" s="36"/>
      <x:c r="I442" s="2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36"/>
      <x:c r="H443" s="36"/>
      <x:c r="I443" s="2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36"/>
      <x:c r="H444" s="36"/>
      <x:c r="I444" s="2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36"/>
      <x:c r="H445" s="36"/>
      <x:c r="I445" s="2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36"/>
      <x:c r="H446" s="36"/>
      <x:c r="I446" s="2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36"/>
      <x:c r="H447" s="36"/>
      <x:c r="I447" s="2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36"/>
      <x:c r="H448" s="36"/>
      <x:c r="I448" s="2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36"/>
      <x:c r="H449" s="36"/>
      <x:c r="I449" s="2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36"/>
      <x:c r="H450" s="36"/>
      <x:c r="I450" s="2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36"/>
      <x:c r="H451" s="36"/>
      <x:c r="I451" s="2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36"/>
      <x:c r="H452" s="36"/>
      <x:c r="I452" s="2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36"/>
      <x:c r="H453" s="36"/>
      <x:c r="I453" s="2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36"/>
      <x:c r="H454" s="36"/>
      <x:c r="I454" s="2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36"/>
      <x:c r="H455" s="36"/>
      <x:c r="I455" s="2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36"/>
      <x:c r="H456" s="36"/>
      <x:c r="I456" s="2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36"/>
      <x:c r="H457" s="36"/>
      <x:c r="I457" s="2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36"/>
      <x:c r="H458" s="36"/>
      <x:c r="I458" s="2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36"/>
      <x:c r="H459" s="36"/>
      <x:c r="I459" s="2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36"/>
      <x:c r="H460" s="36"/>
      <x:c r="I460" s="2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36"/>
      <x:c r="H461" s="36"/>
      <x:c r="I461" s="2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36"/>
      <x:c r="H462" s="36"/>
      <x:c r="I462" s="2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36"/>
      <x:c r="H463" s="36"/>
      <x:c r="I463" s="2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36"/>
      <x:c r="H464" s="36"/>
      <x:c r="I464" s="2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36"/>
      <x:c r="H465" s="36"/>
      <x:c r="I465" s="2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36"/>
      <x:c r="H466" s="36"/>
      <x:c r="I466" s="2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36"/>
      <x:c r="H467" s="36"/>
      <x:c r="I467" s="2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36"/>
      <x:c r="H468" s="36"/>
      <x:c r="I468" s="2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36"/>
      <x:c r="H469" s="36"/>
      <x:c r="I469" s="2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36"/>
      <x:c r="H470" s="36"/>
      <x:c r="I470" s="2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36"/>
      <x:c r="H471" s="36"/>
      <x:c r="I471" s="2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36"/>
      <x:c r="H472" s="36"/>
      <x:c r="I472" s="2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36"/>
      <x:c r="H473" s="36"/>
      <x:c r="I473" s="2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36"/>
      <x:c r="H474" s="36"/>
      <x:c r="I474" s="2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36"/>
      <x:c r="H475" s="36"/>
      <x:c r="I475" s="2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36"/>
      <x:c r="H476" s="36"/>
      <x:c r="I476" s="2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36"/>
      <x:c r="H477" s="36"/>
      <x:c r="I477" s="2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36"/>
      <x:c r="H478" s="36"/>
      <x:c r="I478" s="2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36"/>
      <x:c r="H479" s="36"/>
      <x:c r="I479" s="2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36"/>
      <x:c r="H480" s="36"/>
      <x:c r="I480" s="2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36"/>
      <x:c r="H481" s="36"/>
      <x:c r="I481" s="2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36"/>
      <x:c r="H482" s="36"/>
      <x:c r="I482" s="2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36"/>
      <x:c r="H483" s="36"/>
      <x:c r="I483" s="2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36"/>
      <x:c r="H484" s="36"/>
      <x:c r="I484" s="2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36"/>
      <x:c r="H485" s="36"/>
      <x:c r="I485" s="2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36"/>
      <x:c r="H486" s="36"/>
      <x:c r="I486" s="2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36"/>
      <x:c r="H487" s="36"/>
      <x:c r="I487" s="2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36"/>
      <x:c r="H488" s="36"/>
      <x:c r="I488" s="2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36"/>
      <x:c r="H489" s="36"/>
      <x:c r="I489" s="2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36"/>
      <x:c r="H490" s="36"/>
      <x:c r="I490" s="2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36"/>
      <x:c r="H491" s="36"/>
      <x:c r="I491" s="2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36"/>
      <x:c r="H492" s="36"/>
      <x:c r="I492" s="2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36"/>
      <x:c r="H493" s="36"/>
      <x:c r="I493" s="2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36"/>
      <x:c r="H494" s="36"/>
      <x:c r="I494" s="2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36"/>
      <x:c r="H495" s="36"/>
      <x:c r="I495" s="2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36"/>
      <x:c r="H496" s="36"/>
      <x:c r="I496" s="2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36"/>
      <x:c r="H497" s="36"/>
      <x:c r="I497" s="2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36"/>
      <x:c r="H498" s="36"/>
      <x:c r="I498" s="2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36"/>
      <x:c r="H499" s="36"/>
      <x:c r="I499" s="2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36"/>
      <x:c r="H500" s="36"/>
      <x:c r="I500" s="2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D2:D500">
      <x:formula1>'12_LISTS'!$B$98:$B$109</x:formula1>
    </x:dataValidation>
    <x:dataValidation type="list" sqref="F2:F500">
      <x:formula1>'12_LISTS'!$B$59:$B$59</x:formula1>
    </x:dataValidation>
    <x:dataValidation type="list" sqref="I2:I500">
      <x:formula1>'12_LISTS'!$B$110:$B$117</x:formula1>
    </x:dataValidation>
    <x:dataValidation type="list" sqref="J2:J500">
      <x:formula1>'12_LISTS'!$B$118:$B$122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04d56faef542e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6" hidden="0" customWidth="1"/>
    <x:col min="5" max="5" width="26" hidden="0" customWidth="1"/>
    <x:col min="6" max="6" width="22" hidden="0" customWidth="1"/>
    <x:col min="7" max="7" width="20" hidden="0" customWidth="1"/>
    <x:col min="8" max="8" width="22" hidden="0" customWidth="1"/>
    <x:col min="9" max="9" width="16" hidden="0" customWidth="1"/>
    <x:col min="10" max="10" width="20" hidden="0" customWidth="1"/>
    <x:col min="11" max="11" width="40" hidden="0" customWidth="1"/>
  </x:cols>
  <x:sheetData>
    <x:row r="1">
      <x:c r="A1" s="6" t="str">
        <x:v>assertion_id</x:v>
      </x:c>
      <x:c r="B1" s="6" t="str">
        <x:v>evidence_type</x:v>
      </x:c>
      <x:c r="C1" s="6" t="str">
        <x:v>evidence_id</x:v>
      </x:c>
      <x:c r="D1" s="6" t="str">
        <x:v>source_id</x:v>
      </x:c>
      <x:c r="E1" s="6" t="str">
        <x:v>source_location</x:v>
      </x:c>
      <x:c r="F1" s="6" t="str">
        <x:v>extraction_method</x:v>
      </x:c>
      <x:c r="G1" s="6" t="str">
        <x:v>verification_status</x:v>
      </x:c>
      <x:c r="H1" s="6" t="str">
        <x:v>applicability_status</x:v>
      </x:c>
      <x:c r="I1" s="6" t="str">
        <x:v>verified_at</x:v>
      </x:c>
      <x:c r="J1" s="6" t="str">
        <x:v>verified_by</x:v>
      </x:c>
      <x:c r="K1" s="6" t="str">
        <x:v>notes</x:v>
      </x:c>
    </x:row>
    <x:row r="2">
      <x:c r="A2" s="26" t="str">
        <x:v>AST-000001</x:v>
      </x:c>
      <x:c r="B2" s="26" t="str">
        <x:v>TECHNICAL_FACT</x:v>
      </x:c>
      <x:c r="C2" s="26" t="str">
        <x:v>FAC-000001</x:v>
      </x:c>
      <x:c r="D2" s="26" t="str">
        <x:v>SRC-000025</x:v>
      </x:c>
      <x:c r="E2" s="26" t="str">
        <x:v>bagaj kapasitesi / minimum bagaj hacmi</x:v>
      </x:c>
      <x:c r="F2" s="26" t="str">
        <x:v>MANUAL</x:v>
      </x:c>
      <x:c r="G2" s="26" t="str">
        <x:v>VERIFIED</x:v>
      </x:c>
      <x:c r="H2" s="26" t="str">
        <x:v>EXACT</x:v>
      </x:c>
      <x:c r="I2" s="36" t="n">
        <x:v>46248</x:v>
      </x:c>
      <x:c r="J2" s="26" t="str">
        <x:v>ChatGPT/web research</x:v>
      </x:c>
      <x:c r="K2" s="26" t="str">
        <x:v>Official Dacia source gives both 328 dm3 VDA and 410 L.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AST-000002</x:v>
      </x:c>
      <x:c r="B3" s="26" t="str">
        <x:v>TECHNICAL_FACT</x:v>
      </x:c>
      <x:c r="C3" s="26" t="str">
        <x:v>FAC-000002</x:v>
      </x:c>
      <x:c r="D3" s="26" t="str">
        <x:v>SRC-000011</x:v>
      </x:c>
      <x:c r="E3" s="26" t="str">
        <x:v>technical data table</x:v>
      </x:c>
      <x:c r="F3" s="26" t="str">
        <x:v>MANUAL</x:v>
      </x:c>
      <x:c r="G3" s="26" t="str">
        <x:v>VERIFIED</x:v>
      </x:c>
      <x:c r="H3" s="26" t="str">
        <x:v>EXACT</x:v>
      </x:c>
      <x:c r="I3" s="36" t="n">
        <x:v>46248</x:v>
      </x:c>
      <x:c r="J3" s="26" t="str">
        <x:v>ChatGPT/web research</x:v>
      </x:c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AST-000003</x:v>
      </x:c>
      <x:c r="B4" s="26" t="str">
        <x:v>TECHNICAL_FACT</x:v>
      </x:c>
      <x:c r="C4" s="26" t="str">
        <x:v>FAC-000003</x:v>
      </x:c>
      <x:c r="D4" s="26" t="str">
        <x:v>SRC-000011</x:v>
      </x:c>
      <x:c r="E4" s="26" t="str">
        <x:v>technical data table</x:v>
      </x:c>
      <x:c r="F4" s="26" t="str">
        <x:v>MANUAL</x:v>
      </x:c>
      <x:c r="G4" s="26" t="str">
        <x:v>VERIFIED</x:v>
      </x:c>
      <x:c r="H4" s="26" t="str">
        <x:v>EXACT</x:v>
      </x:c>
      <x:c r="I4" s="36" t="n">
        <x:v>46248</x:v>
      </x:c>
      <x:c r="J4" s="26" t="str">
        <x:v>ChatGPT/web research</x:v>
      </x:c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AST-000004</x:v>
      </x:c>
      <x:c r="B5" s="26" t="str">
        <x:v>TECHNICAL_FACT</x:v>
      </x:c>
      <x:c r="C5" s="26" t="str">
        <x:v>FAC-000004</x:v>
      </x:c>
      <x:c r="D5" s="26" t="str">
        <x:v>SRC-000011</x:v>
      </x:c>
      <x:c r="E5" s="26" t="str">
        <x:v>technical data table</x:v>
      </x:c>
      <x:c r="F5" s="26" t="str">
        <x:v>MANUAL</x:v>
      </x:c>
      <x:c r="G5" s="26" t="str">
        <x:v>VERIFIED</x:v>
      </x:c>
      <x:c r="H5" s="26" t="str">
        <x:v>EXACT</x:v>
      </x:c>
      <x:c r="I5" s="36" t="n">
        <x:v>46248</x:v>
      </x:c>
      <x:c r="J5" s="26" t="str">
        <x:v>ChatGPT/web research</x:v>
      </x:c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AST-000005</x:v>
      </x:c>
      <x:c r="B6" s="26" t="str">
        <x:v>TECHNICAL_FACT</x:v>
      </x:c>
      <x:c r="C6" s="26" t="str">
        <x:v>FAC-000005</x:v>
      </x:c>
      <x:c r="D6" s="26" t="str">
        <x:v>SRC-000011</x:v>
      </x:c>
      <x:c r="E6" s="26" t="str">
        <x:v>technical data table</x:v>
      </x:c>
      <x:c r="F6" s="26" t="str">
        <x:v>MANUAL</x:v>
      </x:c>
      <x:c r="G6" s="26" t="str">
        <x:v>VERIFIED</x:v>
      </x:c>
      <x:c r="H6" s="26" t="str">
        <x:v>EXACT</x:v>
      </x:c>
      <x:c r="I6" s="36" t="n">
        <x:v>46248</x:v>
      </x:c>
      <x:c r="J6" s="26" t="str">
        <x:v>ChatGPT/web research</x:v>
      </x:c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AST-000006</x:v>
      </x:c>
      <x:c r="B7" s="26" t="str">
        <x:v>TECHNICAL_FACT</x:v>
      </x:c>
      <x:c r="C7" s="26" t="str">
        <x:v>FAC-000006</x:v>
      </x:c>
      <x:c r="D7" s="26" t="str">
        <x:v>SRC-000011</x:v>
      </x:c>
      <x:c r="E7" s="26" t="str">
        <x:v>technical data table</x:v>
      </x:c>
      <x:c r="F7" s="26" t="str">
        <x:v>MANUAL</x:v>
      </x:c>
      <x:c r="G7" s="26" t="str">
        <x:v>VERIFIED</x:v>
      </x:c>
      <x:c r="H7" s="26" t="str">
        <x:v>EXACT</x:v>
      </x:c>
      <x:c r="I7" s="36" t="n">
        <x:v>46248</x:v>
      </x:c>
      <x:c r="J7" s="26" t="str">
        <x:v>ChatGPT/web research</x:v>
      </x:c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AST-000007</x:v>
      </x:c>
      <x:c r="B8" s="26" t="str">
        <x:v>TECHNICAL_FACT</x:v>
      </x:c>
      <x:c r="C8" s="26" t="str">
        <x:v>FAC-000007</x:v>
      </x:c>
      <x:c r="D8" s="26" t="str">
        <x:v>SRC-000011</x:v>
      </x:c>
      <x:c r="E8" s="26" t="str">
        <x:v>technical data table</x:v>
      </x:c>
      <x:c r="F8" s="26" t="str">
        <x:v>MANUAL</x:v>
      </x:c>
      <x:c r="G8" s="26" t="str">
        <x:v>VERIFIED</x:v>
      </x:c>
      <x:c r="H8" s="26" t="str">
        <x:v>EXACT</x:v>
      </x:c>
      <x:c r="I8" s="36" t="n">
        <x:v>46248</x:v>
      </x:c>
      <x:c r="J8" s="26" t="str">
        <x:v>ChatGPT/web research</x:v>
      </x:c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AST-000008</x:v>
      </x:c>
      <x:c r="B9" s="26" t="str">
        <x:v>TECHNICAL_FACT</x:v>
      </x:c>
      <x:c r="C9" s="26" t="str">
        <x:v>FAC-000008</x:v>
      </x:c>
      <x:c r="D9" s="26" t="str">
        <x:v>SRC-000011</x:v>
      </x:c>
      <x:c r="E9" s="26" t="str">
        <x:v>technical data table</x:v>
      </x:c>
      <x:c r="F9" s="26" t="str">
        <x:v>MANUAL</x:v>
      </x:c>
      <x:c r="G9" s="26" t="str">
        <x:v>VERIFIED</x:v>
      </x:c>
      <x:c r="H9" s="26" t="str">
        <x:v>EXACT</x:v>
      </x:c>
      <x:c r="I9" s="36" t="n">
        <x:v>46248</x:v>
      </x:c>
      <x:c r="J9" s="26" t="str">
        <x:v>ChatGPT/web research</x:v>
      </x:c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AST-000009</x:v>
      </x:c>
      <x:c r="B10" s="26" t="str">
        <x:v>TECHNICAL_FACT</x:v>
      </x:c>
      <x:c r="C10" s="26" t="str">
        <x:v>FAC-000009</x:v>
      </x:c>
      <x:c r="D10" s="26" t="str">
        <x:v>SRC-000011</x:v>
      </x:c>
      <x:c r="E10" s="26" t="str">
        <x:v>technical data table</x:v>
      </x:c>
      <x:c r="F10" s="26" t="str">
        <x:v>MANUAL</x:v>
      </x:c>
      <x:c r="G10" s="26" t="str">
        <x:v>VERIFIED</x:v>
      </x:c>
      <x:c r="H10" s="26" t="str">
        <x:v>EXACT</x:v>
      </x:c>
      <x:c r="I10" s="36" t="n">
        <x:v>46248</x:v>
      </x:c>
      <x:c r="J10" s="26" t="str">
        <x:v>ChatGPT/web research</x:v>
      </x:c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AST-000010</x:v>
      </x:c>
      <x:c r="B11" s="26" t="str">
        <x:v>TECHNICAL_FACT</x:v>
      </x:c>
      <x:c r="C11" s="26" t="str">
        <x:v>FAC-000010</x:v>
      </x:c>
      <x:c r="D11" s="26" t="str">
        <x:v>SRC-000011</x:v>
      </x:c>
      <x:c r="E11" s="26" t="str">
        <x:v>technical data table</x:v>
      </x:c>
      <x:c r="F11" s="26" t="str">
        <x:v>MANUAL</x:v>
      </x:c>
      <x:c r="G11" s="26" t="str">
        <x:v>VERIFIED</x:v>
      </x:c>
      <x:c r="H11" s="26" t="str">
        <x:v>EXACT</x:v>
      </x:c>
      <x:c r="I11" s="36" t="n">
        <x:v>46248</x:v>
      </x:c>
      <x:c r="J11" s="26" t="str">
        <x:v>ChatGPT/web research</x:v>
      </x:c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AST-000011</x:v>
      </x:c>
      <x:c r="B12" s="26" t="str">
        <x:v>TECHNICAL_FACT</x:v>
      </x:c>
      <x:c r="C12" s="26" t="str">
        <x:v>FAC-000011</x:v>
      </x:c>
      <x:c r="D12" s="26" t="str">
        <x:v>SRC-000011</x:v>
      </x:c>
      <x:c r="E12" s="26" t="str">
        <x:v>technical data table</x:v>
      </x:c>
      <x:c r="F12" s="26" t="str">
        <x:v>MANUAL</x:v>
      </x:c>
      <x:c r="G12" s="26" t="str">
        <x:v>VERIFIED</x:v>
      </x:c>
      <x:c r="H12" s="26" t="str">
        <x:v>EXACT</x:v>
      </x:c>
      <x:c r="I12" s="36" t="n">
        <x:v>46248</x:v>
      </x:c>
      <x:c r="J12" s="26" t="str">
        <x:v>ChatGPT/web research</x:v>
      </x:c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AST-000012</x:v>
      </x:c>
      <x:c r="B13" s="26" t="str">
        <x:v>TECHNICAL_FACT</x:v>
      </x:c>
      <x:c r="C13" s="26" t="str">
        <x:v>FAC-000012</x:v>
      </x:c>
      <x:c r="D13" s="26" t="str">
        <x:v>SRC-000011</x:v>
      </x:c>
      <x:c r="E13" s="26" t="str">
        <x:v>fuel consumption section</x:v>
      </x:c>
      <x:c r="F13" s="26" t="str">
        <x:v>MANUAL</x:v>
      </x:c>
      <x:c r="G13" s="26" t="str">
        <x:v>CONFLICTING</x:v>
      </x:c>
      <x:c r="H13" s="26" t="str">
        <x:v>EXACT</x:v>
      </x:c>
      <x:c r="I13" s="36"/>
      <x:c r="J13" s="26" t="str">
        <x:v>ChatGPT/web research</x:v>
      </x:c>
      <x:c r="K13" s="26" t="str">
        <x:v>Do not average.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AST-000013</x:v>
      </x:c>
      <x:c r="B14" s="26" t="str">
        <x:v>TECHNICAL_FACT</x:v>
      </x:c>
      <x:c r="C14" s="26" t="str">
        <x:v>FAC-000013</x:v>
      </x:c>
      <x:c r="D14" s="26" t="str">
        <x:v>SRC-000012</x:v>
      </x:c>
      <x:c r="E14" s="26" t="str">
        <x:v>engine/dimensions section</x:v>
      </x:c>
      <x:c r="F14" s="26" t="str">
        <x:v>MANUAL</x:v>
      </x:c>
      <x:c r="G14" s="26" t="str">
        <x:v>VERIFIED</x:v>
      </x:c>
      <x:c r="H14" s="26" t="str">
        <x:v>EXACT</x:v>
      </x:c>
      <x:c r="I14" s="36" t="n">
        <x:v>46248</x:v>
      </x:c>
      <x:c r="J14" s="26" t="str">
        <x:v>ChatGPT/web research</x:v>
      </x:c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AST-000014</x:v>
      </x:c>
      <x:c r="B15" s="26" t="str">
        <x:v>TECHNICAL_FACT</x:v>
      </x:c>
      <x:c r="C15" s="26" t="str">
        <x:v>FAC-000014</x:v>
      </x:c>
      <x:c r="D15" s="26" t="str">
        <x:v>SRC-000012</x:v>
      </x:c>
      <x:c r="E15" s="26" t="str">
        <x:v>engine/dimensions section</x:v>
      </x:c>
      <x:c r="F15" s="26" t="str">
        <x:v>MANUAL</x:v>
      </x:c>
      <x:c r="G15" s="26" t="str">
        <x:v>VERIFIED</x:v>
      </x:c>
      <x:c r="H15" s="26" t="str">
        <x:v>EXACT</x:v>
      </x:c>
      <x:c r="I15" s="36" t="n">
        <x:v>46248</x:v>
      </x:c>
      <x:c r="J15" s="26" t="str">
        <x:v>ChatGPT/web research</x:v>
      </x:c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AST-000015</x:v>
      </x:c>
      <x:c r="B16" s="26" t="str">
        <x:v>TECHNICAL_FACT</x:v>
      </x:c>
      <x:c r="C16" s="26" t="str">
        <x:v>FAC-000015</x:v>
      </x:c>
      <x:c r="D16" s="26" t="str">
        <x:v>SRC-000012</x:v>
      </x:c>
      <x:c r="E16" s="26" t="str">
        <x:v>engine/dimensions section</x:v>
      </x:c>
      <x:c r="F16" s="26" t="str">
        <x:v>MANUAL</x:v>
      </x:c>
      <x:c r="G16" s="26" t="str">
        <x:v>VERIFIED</x:v>
      </x:c>
      <x:c r="H16" s="26" t="str">
        <x:v>EXACT</x:v>
      </x:c>
      <x:c r="I16" s="36" t="n">
        <x:v>46248</x:v>
      </x:c>
      <x:c r="J16" s="26" t="str">
        <x:v>ChatGPT/web research</x:v>
      </x:c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AST-000016</x:v>
      </x:c>
      <x:c r="B17" s="26" t="str">
        <x:v>TECHNICAL_FACT</x:v>
      </x:c>
      <x:c r="C17" s="26" t="str">
        <x:v>FAC-000016</x:v>
      </x:c>
      <x:c r="D17" s="26" t="str">
        <x:v>SRC-000012</x:v>
      </x:c>
      <x:c r="E17" s="26" t="str">
        <x:v>engine/dimensions section</x:v>
      </x:c>
      <x:c r="F17" s="26" t="str">
        <x:v>MANUAL</x:v>
      </x:c>
      <x:c r="G17" s="26" t="str">
        <x:v>VERIFIED</x:v>
      </x:c>
      <x:c r="H17" s="26" t="str">
        <x:v>EXACT</x:v>
      </x:c>
      <x:c r="I17" s="36" t="n">
        <x:v>46248</x:v>
      </x:c>
      <x:c r="J17" s="26" t="str">
        <x:v>ChatGPT/web research</x:v>
      </x:c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AST-000017</x:v>
      </x:c>
      <x:c r="B18" s="26" t="str">
        <x:v>TECHNICAL_FACT</x:v>
      </x:c>
      <x:c r="C18" s="26" t="str">
        <x:v>FAC-000017</x:v>
      </x:c>
      <x:c r="D18" s="26" t="str">
        <x:v>SRC-000012</x:v>
      </x:c>
      <x:c r="E18" s="26" t="str">
        <x:v>engine/dimensions section</x:v>
      </x:c>
      <x:c r="F18" s="26" t="str">
        <x:v>MANUAL</x:v>
      </x:c>
      <x:c r="G18" s="26" t="str">
        <x:v>VERIFIED</x:v>
      </x:c>
      <x:c r="H18" s="26" t="str">
        <x:v>EXACT</x:v>
      </x:c>
      <x:c r="I18" s="36" t="n">
        <x:v>46248</x:v>
      </x:c>
      <x:c r="J18" s="26" t="str">
        <x:v>ChatGPT/web research</x:v>
      </x:c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AST-000018</x:v>
      </x:c>
      <x:c r="B19" s="26" t="str">
        <x:v>TECHNICAL_FACT</x:v>
      </x:c>
      <x:c r="C19" s="26" t="str">
        <x:v>FAC-000018</x:v>
      </x:c>
      <x:c r="D19" s="26" t="str">
        <x:v>SRC-000012</x:v>
      </x:c>
      <x:c r="E19" s="26" t="str">
        <x:v>engine/dimensions section</x:v>
      </x:c>
      <x:c r="F19" s="26" t="str">
        <x:v>MANUAL</x:v>
      </x:c>
      <x:c r="G19" s="26" t="str">
        <x:v>VERIFIED</x:v>
      </x:c>
      <x:c r="H19" s="26" t="str">
        <x:v>EXACT</x:v>
      </x:c>
      <x:c r="I19" s="36" t="n">
        <x:v>46248</x:v>
      </x:c>
      <x:c r="J19" s="26" t="str">
        <x:v>ChatGPT/web research</x:v>
      </x:c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AST-000019</x:v>
      </x:c>
      <x:c r="B20" s="26" t="str">
        <x:v>TECHNICAL_FACT</x:v>
      </x:c>
      <x:c r="C20" s="26" t="str">
        <x:v>FAC-000019</x:v>
      </x:c>
      <x:c r="D20" s="26" t="str">
        <x:v>SRC-000012</x:v>
      </x:c>
      <x:c r="E20" s="26" t="str">
        <x:v>engine/dimensions section</x:v>
      </x:c>
      <x:c r="F20" s="26" t="str">
        <x:v>MANUAL</x:v>
      </x:c>
      <x:c r="G20" s="26" t="str">
        <x:v>VERIFIED</x:v>
      </x:c>
      <x:c r="H20" s="26" t="str">
        <x:v>EXACT</x:v>
      </x:c>
      <x:c r="I20" s="36" t="n">
        <x:v>46248</x:v>
      </x:c>
      <x:c r="J20" s="26" t="str">
        <x:v>ChatGPT/web research</x:v>
      </x:c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AST-000020</x:v>
      </x:c>
      <x:c r="B21" s="26" t="str">
        <x:v>TECHNICAL_FACT</x:v>
      </x:c>
      <x:c r="C21" s="26" t="str">
        <x:v>FAC-000020</x:v>
      </x:c>
      <x:c r="D21" s="26" t="str">
        <x:v>SRC-000013</x:v>
      </x:c>
      <x:c r="E21" s="26" t="str">
        <x:v>technical specifications p.2</x:v>
      </x:c>
      <x:c r="F21" s="26" t="str">
        <x:v>MANUAL</x:v>
      </x:c>
      <x:c r="G21" s="26" t="str">
        <x:v>VERIFIED</x:v>
      </x:c>
      <x:c r="H21" s="26" t="str">
        <x:v>EXACT</x:v>
      </x:c>
      <x:c r="I21" s="36" t="n">
        <x:v>46248</x:v>
      </x:c>
      <x:c r="J21" s="26" t="str">
        <x:v>ChatGPT/web research</x:v>
      </x:c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AST-000021</x:v>
      </x:c>
      <x:c r="B22" s="26" t="str">
        <x:v>TECHNICAL_FACT</x:v>
      </x:c>
      <x:c r="C22" s="26" t="str">
        <x:v>FAC-000021</x:v>
      </x:c>
      <x:c r="D22" s="26" t="str">
        <x:v>SRC-000013</x:v>
      </x:c>
      <x:c r="E22" s="26" t="str">
        <x:v>technical specifications p.2</x:v>
      </x:c>
      <x:c r="F22" s="26" t="str">
        <x:v>MANUAL</x:v>
      </x:c>
      <x:c r="G22" s="26" t="str">
        <x:v>VERIFIED</x:v>
      </x:c>
      <x:c r="H22" s="26" t="str">
        <x:v>EXACT</x:v>
      </x:c>
      <x:c r="I22" s="36" t="n">
        <x:v>46248</x:v>
      </x:c>
      <x:c r="J22" s="26" t="str">
        <x:v>ChatGPT/web research</x:v>
      </x:c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AST-000022</x:v>
      </x:c>
      <x:c r="B23" s="26" t="str">
        <x:v>TECHNICAL_FACT</x:v>
      </x:c>
      <x:c r="C23" s="26" t="str">
        <x:v>FAC-000022</x:v>
      </x:c>
      <x:c r="D23" s="26" t="str">
        <x:v>SRC-000013</x:v>
      </x:c>
      <x:c r="E23" s="26" t="str">
        <x:v>technical specifications p.2</x:v>
      </x:c>
      <x:c r="F23" s="26" t="str">
        <x:v>MANUAL</x:v>
      </x:c>
      <x:c r="G23" s="26" t="str">
        <x:v>VERIFIED</x:v>
      </x:c>
      <x:c r="H23" s="26" t="str">
        <x:v>EXACT</x:v>
      </x:c>
      <x:c r="I23" s="36" t="n">
        <x:v>46248</x:v>
      </x:c>
      <x:c r="J23" s="26" t="str">
        <x:v>ChatGPT/web research</x:v>
      </x:c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AST-000023</x:v>
      </x:c>
      <x:c r="B24" s="26" t="str">
        <x:v>TECHNICAL_FACT</x:v>
      </x:c>
      <x:c r="C24" s="26" t="str">
        <x:v>FAC-000023</x:v>
      </x:c>
      <x:c r="D24" s="26" t="str">
        <x:v>SRC-000013</x:v>
      </x:c>
      <x:c r="E24" s="26" t="str">
        <x:v>technical specifications p.2</x:v>
      </x:c>
      <x:c r="F24" s="26" t="str">
        <x:v>MANUAL</x:v>
      </x:c>
      <x:c r="G24" s="26" t="str">
        <x:v>VERIFIED</x:v>
      </x:c>
      <x:c r="H24" s="26" t="str">
        <x:v>EXACT</x:v>
      </x:c>
      <x:c r="I24" s="36" t="n">
        <x:v>46248</x:v>
      </x:c>
      <x:c r="J24" s="26" t="str">
        <x:v>ChatGPT/web research</x:v>
      </x:c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AST-000024</x:v>
      </x:c>
      <x:c r="B25" s="26" t="str">
        <x:v>TECHNICAL_FACT</x:v>
      </x:c>
      <x:c r="C25" s="26" t="str">
        <x:v>FAC-000024</x:v>
      </x:c>
      <x:c r="D25" s="26" t="str">
        <x:v>SRC-000013</x:v>
      </x:c>
      <x:c r="E25" s="26" t="str">
        <x:v>technical specifications p.2</x:v>
      </x:c>
      <x:c r="F25" s="26" t="str">
        <x:v>MANUAL</x:v>
      </x:c>
      <x:c r="G25" s="26" t="str">
        <x:v>VERIFIED</x:v>
      </x:c>
      <x:c r="H25" s="26" t="str">
        <x:v>EXACT</x:v>
      </x:c>
      <x:c r="I25" s="36" t="n">
        <x:v>46248</x:v>
      </x:c>
      <x:c r="J25" s="26" t="str">
        <x:v>ChatGPT/web research</x:v>
      </x:c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AST-000025</x:v>
      </x:c>
      <x:c r="B26" s="26" t="str">
        <x:v>TECHNICAL_FACT</x:v>
      </x:c>
      <x:c r="C26" s="26" t="str">
        <x:v>FAC-000025</x:v>
      </x:c>
      <x:c r="D26" s="26" t="str">
        <x:v>SRC-000013</x:v>
      </x:c>
      <x:c r="E26" s="26" t="str">
        <x:v>technical specifications p.2</x:v>
      </x:c>
      <x:c r="F26" s="26" t="str">
        <x:v>MANUAL</x:v>
      </x:c>
      <x:c r="G26" s="26" t="str">
        <x:v>VERIFIED</x:v>
      </x:c>
      <x:c r="H26" s="26" t="str">
        <x:v>EXACT</x:v>
      </x:c>
      <x:c r="I26" s="36" t="n">
        <x:v>46248</x:v>
      </x:c>
      <x:c r="J26" s="26" t="str">
        <x:v>ChatGPT/web research</x:v>
      </x:c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AST-000026</x:v>
      </x:c>
      <x:c r="B27" s="26" t="str">
        <x:v>TECHNICAL_FACT</x:v>
      </x:c>
      <x:c r="C27" s="26" t="str">
        <x:v>FAC-000026</x:v>
      </x:c>
      <x:c r="D27" s="26" t="str">
        <x:v>SRC-000013</x:v>
      </x:c>
      <x:c r="E27" s="26" t="str">
        <x:v>technical specifications p.2</x:v>
      </x:c>
      <x:c r="F27" s="26" t="str">
        <x:v>MANUAL</x:v>
      </x:c>
      <x:c r="G27" s="26" t="str">
        <x:v>VERIFIED</x:v>
      </x:c>
      <x:c r="H27" s="26" t="str">
        <x:v>EXACT</x:v>
      </x:c>
      <x:c r="I27" s="36" t="n">
        <x:v>46248</x:v>
      </x:c>
      <x:c r="J27" s="26" t="str">
        <x:v>ChatGPT/web research</x:v>
      </x:c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AST-000027</x:v>
      </x:c>
      <x:c r="B28" s="26" t="str">
        <x:v>TECHNICAL_FACT</x:v>
      </x:c>
      <x:c r="C28" s="26" t="str">
        <x:v>FAC-000027</x:v>
      </x:c>
      <x:c r="D28" s="26" t="str">
        <x:v>SRC-000013</x:v>
      </x:c>
      <x:c r="E28" s="26" t="str">
        <x:v>technical specifications p.2</x:v>
      </x:c>
      <x:c r="F28" s="26" t="str">
        <x:v>MANUAL</x:v>
      </x:c>
      <x:c r="G28" s="26" t="str">
        <x:v>VERIFIED</x:v>
      </x:c>
      <x:c r="H28" s="26" t="str">
        <x:v>EXACT</x:v>
      </x:c>
      <x:c r="I28" s="36" t="n">
        <x:v>46248</x:v>
      </x:c>
      <x:c r="J28" s="26" t="str">
        <x:v>ChatGPT/web research</x:v>
      </x:c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AST-000028</x:v>
      </x:c>
      <x:c r="B29" s="26" t="str">
        <x:v>TECHNICAL_FACT</x:v>
      </x:c>
      <x:c r="C29" s="26" t="str">
        <x:v>FAC-000028</x:v>
      </x:c>
      <x:c r="D29" s="26" t="str">
        <x:v>SRC-000013</x:v>
      </x:c>
      <x:c r="E29" s="26" t="str">
        <x:v>technical specifications p.2</x:v>
      </x:c>
      <x:c r="F29" s="26" t="str">
        <x:v>MANUAL</x:v>
      </x:c>
      <x:c r="G29" s="26" t="str">
        <x:v>VERIFIED</x:v>
      </x:c>
      <x:c r="H29" s="26" t="str">
        <x:v>EXACT</x:v>
      </x:c>
      <x:c r="I29" s="36" t="n">
        <x:v>46248</x:v>
      </x:c>
      <x:c r="J29" s="26" t="str">
        <x:v>ChatGPT/web research</x:v>
      </x:c>
      <x:c r="K29" s="26" t="str">
        <x:v>Pilot reveals need for native numeric range representation.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AST-000029</x:v>
      </x:c>
      <x:c r="B30" s="26" t="str">
        <x:v>TECHNICAL_FACT</x:v>
      </x:c>
      <x:c r="C30" s="26" t="str">
        <x:v>FAC-000029</x:v>
      </x:c>
      <x:c r="D30" s="26" t="str">
        <x:v>SRC-000004</x:v>
      </x:c>
      <x:c r="E30" s="26" t="str">
        <x:v>technical information table</x:v>
      </x:c>
      <x:c r="F30" s="26" t="str">
        <x:v>MANUAL</x:v>
      </x:c>
      <x:c r="G30" s="26" t="str">
        <x:v>VERIFIED</x:v>
      </x:c>
      <x:c r="H30" s="26" t="str">
        <x:v>EXACT</x:v>
      </x:c>
      <x:c r="I30" s="36" t="n">
        <x:v>46248</x:v>
      </x:c>
      <x:c r="J30" s="26" t="str">
        <x:v>ChatGPT/web research</x:v>
      </x:c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AST-000030</x:v>
      </x:c>
      <x:c r="B31" s="26" t="str">
        <x:v>TECHNICAL_FACT</x:v>
      </x:c>
      <x:c r="C31" s="26" t="str">
        <x:v>FAC-000030</x:v>
      </x:c>
      <x:c r="D31" s="26" t="str">
        <x:v>SRC-000004</x:v>
      </x:c>
      <x:c r="E31" s="26" t="str">
        <x:v>technical information table</x:v>
      </x:c>
      <x:c r="F31" s="26" t="str">
        <x:v>MANUAL</x:v>
      </x:c>
      <x:c r="G31" s="26" t="str">
        <x:v>VERIFIED</x:v>
      </x:c>
      <x:c r="H31" s="26" t="str">
        <x:v>EXACT</x:v>
      </x:c>
      <x:c r="I31" s="36" t="n">
        <x:v>46248</x:v>
      </x:c>
      <x:c r="J31" s="26" t="str">
        <x:v>ChatGPT/web research</x:v>
      </x:c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AST-000031</x:v>
      </x:c>
      <x:c r="B32" s="26" t="str">
        <x:v>TECHNICAL_FACT</x:v>
      </x:c>
      <x:c r="C32" s="26" t="str">
        <x:v>FAC-000031</x:v>
      </x:c>
      <x:c r="D32" s="26" t="str">
        <x:v>SRC-000004</x:v>
      </x:c>
      <x:c r="E32" s="26" t="str">
        <x:v>technical information table</x:v>
      </x:c>
      <x:c r="F32" s="26" t="str">
        <x:v>MANUAL</x:v>
      </x:c>
      <x:c r="G32" s="26" t="str">
        <x:v>VERIFIED</x:v>
      </x:c>
      <x:c r="H32" s="26" t="str">
        <x:v>EXACT</x:v>
      </x:c>
      <x:c r="I32" s="36" t="n">
        <x:v>46248</x:v>
      </x:c>
      <x:c r="J32" s="26" t="str">
        <x:v>ChatGPT/web research</x:v>
      </x:c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AST-000032</x:v>
      </x:c>
      <x:c r="B33" s="26" t="str">
        <x:v>TECHNICAL_FACT</x:v>
      </x:c>
      <x:c r="C33" s="26" t="str">
        <x:v>FAC-000032</x:v>
      </x:c>
      <x:c r="D33" s="26" t="str">
        <x:v>SRC-000004</x:v>
      </x:c>
      <x:c r="E33" s="26" t="str">
        <x:v>technical information table</x:v>
      </x:c>
      <x:c r="F33" s="26" t="str">
        <x:v>MANUAL</x:v>
      </x:c>
      <x:c r="G33" s="26" t="str">
        <x:v>VERIFIED</x:v>
      </x:c>
      <x:c r="H33" s="26" t="str">
        <x:v>EXACT</x:v>
      </x:c>
      <x:c r="I33" s="36" t="n">
        <x:v>46248</x:v>
      </x:c>
      <x:c r="J33" s="26" t="str">
        <x:v>ChatGPT/web research</x:v>
      </x:c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AST-000033</x:v>
      </x:c>
      <x:c r="B34" s="26" t="str">
        <x:v>TECHNICAL_FACT</x:v>
      </x:c>
      <x:c r="C34" s="26" t="str">
        <x:v>FAC-000033</x:v>
      </x:c>
      <x:c r="D34" s="26" t="str">
        <x:v>SRC-000004</x:v>
      </x:c>
      <x:c r="E34" s="26" t="str">
        <x:v>technical information table</x:v>
      </x:c>
      <x:c r="F34" s="26" t="str">
        <x:v>MANUAL</x:v>
      </x:c>
      <x:c r="G34" s="26" t="str">
        <x:v>VERIFIED</x:v>
      </x:c>
      <x:c r="H34" s="26" t="str">
        <x:v>EXACT</x:v>
      </x:c>
      <x:c r="I34" s="36" t="n">
        <x:v>46248</x:v>
      </x:c>
      <x:c r="J34" s="26" t="str">
        <x:v>ChatGPT/web research</x:v>
      </x:c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AST-000034</x:v>
      </x:c>
      <x:c r="B35" s="26" t="str">
        <x:v>TECHNICAL_FACT</x:v>
      </x:c>
      <x:c r="C35" s="26" t="str">
        <x:v>FAC-000034</x:v>
      </x:c>
      <x:c r="D35" s="26" t="str">
        <x:v>SRC-000004</x:v>
      </x:c>
      <x:c r="E35" s="26" t="str">
        <x:v>technical information table</x:v>
      </x:c>
      <x:c r="F35" s="26" t="str">
        <x:v>MANUAL</x:v>
      </x:c>
      <x:c r="G35" s="26" t="str">
        <x:v>VERIFIED</x:v>
      </x:c>
      <x:c r="H35" s="26" t="str">
        <x:v>EXACT</x:v>
      </x:c>
      <x:c r="I35" s="36" t="n">
        <x:v>46248</x:v>
      </x:c>
      <x:c r="J35" s="26" t="str">
        <x:v>ChatGPT/web research</x:v>
      </x:c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AST-000035</x:v>
      </x:c>
      <x:c r="B36" s="26" t="str">
        <x:v>TECHNICAL_FACT</x:v>
      </x:c>
      <x:c r="C36" s="26" t="str">
        <x:v>FAC-000035</x:v>
      </x:c>
      <x:c r="D36" s="26" t="str">
        <x:v>SRC-000004</x:v>
      </x:c>
      <x:c r="E36" s="26" t="str">
        <x:v>technical information table</x:v>
      </x:c>
      <x:c r="F36" s="26" t="str">
        <x:v>MANUAL</x:v>
      </x:c>
      <x:c r="G36" s="26" t="str">
        <x:v>VERIFIED</x:v>
      </x:c>
      <x:c r="H36" s="26" t="str">
        <x:v>EXACT</x:v>
      </x:c>
      <x:c r="I36" s="36" t="n">
        <x:v>46248</x:v>
      </x:c>
      <x:c r="J36" s="26" t="str">
        <x:v>ChatGPT/web research</x:v>
      </x:c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AST-000036</x:v>
      </x:c>
      <x:c r="B37" s="26" t="str">
        <x:v>TECHNICAL_FACT</x:v>
      </x:c>
      <x:c r="C37" s="26" t="str">
        <x:v>FAC-000036</x:v>
      </x:c>
      <x:c r="D37" s="26" t="str">
        <x:v>SRC-000004</x:v>
      </x:c>
      <x:c r="E37" s="26" t="str">
        <x:v>technical information table</x:v>
      </x:c>
      <x:c r="F37" s="26" t="str">
        <x:v>MANUAL</x:v>
      </x:c>
      <x:c r="G37" s="26" t="str">
        <x:v>VERIFIED</x:v>
      </x:c>
      <x:c r="H37" s="26" t="str">
        <x:v>EXACT</x:v>
      </x:c>
      <x:c r="I37" s="36" t="n">
        <x:v>46248</x:v>
      </x:c>
      <x:c r="J37" s="26" t="str">
        <x:v>ChatGPT/web research</x:v>
      </x:c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AST-000037</x:v>
      </x:c>
      <x:c r="B38" s="26" t="str">
        <x:v>TECHNICAL_FACT</x:v>
      </x:c>
      <x:c r="C38" s="26" t="str">
        <x:v>FAC-000037</x:v>
      </x:c>
      <x:c r="D38" s="26" t="str">
        <x:v>SRC-000004</x:v>
      </x:c>
      <x:c r="E38" s="26" t="str">
        <x:v>technical information table</x:v>
      </x:c>
      <x:c r="F38" s="26" t="str">
        <x:v>MANUAL</x:v>
      </x:c>
      <x:c r="G38" s="26" t="str">
        <x:v>VERIFIED</x:v>
      </x:c>
      <x:c r="H38" s="26" t="str">
        <x:v>EXACT</x:v>
      </x:c>
      <x:c r="I38" s="36" t="n">
        <x:v>46248</x:v>
      </x:c>
      <x:c r="J38" s="26" t="str">
        <x:v>ChatGPT/web research</x:v>
      </x:c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AST-000038</x:v>
      </x:c>
      <x:c r="B39" s="26" t="str">
        <x:v>TECHNICAL_FACT</x:v>
      </x:c>
      <x:c r="C39" s="26" t="str">
        <x:v>FAC-000038</x:v>
      </x:c>
      <x:c r="D39" s="26" t="str">
        <x:v>SRC-000004</x:v>
      </x:c>
      <x:c r="E39" s="26" t="str">
        <x:v>technical information table</x:v>
      </x:c>
      <x:c r="F39" s="26" t="str">
        <x:v>MANUAL</x:v>
      </x:c>
      <x:c r="G39" s="26" t="str">
        <x:v>VERIFIED</x:v>
      </x:c>
      <x:c r="H39" s="26" t="str">
        <x:v>EXACT</x:v>
      </x:c>
      <x:c r="I39" s="36" t="n">
        <x:v>46248</x:v>
      </x:c>
      <x:c r="J39" s="26" t="str">
        <x:v>ChatGPT/web research</x:v>
      </x:c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AST-000039</x:v>
      </x:c>
      <x:c r="B40" s="26" t="str">
        <x:v>TECHNICAL_FACT</x:v>
      </x:c>
      <x:c r="C40" s="26" t="str">
        <x:v>FAC-000039</x:v>
      </x:c>
      <x:c r="D40" s="26" t="str">
        <x:v>SRC-000004</x:v>
      </x:c>
      <x:c r="E40" s="26" t="str">
        <x:v>technical information table</x:v>
      </x:c>
      <x:c r="F40" s="26" t="str">
        <x:v>MANUAL</x:v>
      </x:c>
      <x:c r="G40" s="26" t="str">
        <x:v>VERIFIED</x:v>
      </x:c>
      <x:c r="H40" s="26" t="str">
        <x:v>EXACT</x:v>
      </x:c>
      <x:c r="I40" s="36" t="n">
        <x:v>46248</x:v>
      </x:c>
      <x:c r="J40" s="26" t="str">
        <x:v>ChatGPT/web research</x:v>
      </x:c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AST-000040</x:v>
      </x:c>
      <x:c r="B41" s="26" t="str">
        <x:v>TECHNICAL_FACT</x:v>
      </x:c>
      <x:c r="C41" s="26" t="str">
        <x:v>FAC-000040</x:v>
      </x:c>
      <x:c r="D41" s="26" t="str">
        <x:v>SRC-000015</x:v>
      </x:c>
      <x:c r="E41" s="26" t="str">
        <x:v>technical data p.4–5</x:v>
      </x:c>
      <x:c r="F41" s="26" t="str">
        <x:v>MANUAL</x:v>
      </x:c>
      <x:c r="G41" s="26" t="str">
        <x:v>VERIFIED</x:v>
      </x:c>
      <x:c r="H41" s="26" t="str">
        <x:v>EXACT</x:v>
      </x:c>
      <x:c r="I41" s="36" t="n">
        <x:v>46248</x:v>
      </x:c>
      <x:c r="J41" s="26" t="str">
        <x:v>ChatGPT/web research</x:v>
      </x:c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AST-000041</x:v>
      </x:c>
      <x:c r="B42" s="26" t="str">
        <x:v>TECHNICAL_FACT</x:v>
      </x:c>
      <x:c r="C42" s="26" t="str">
        <x:v>FAC-000041</x:v>
      </x:c>
      <x:c r="D42" s="26" t="str">
        <x:v>SRC-000015</x:v>
      </x:c>
      <x:c r="E42" s="26" t="str">
        <x:v>technical data p.4–5</x:v>
      </x:c>
      <x:c r="F42" s="26" t="str">
        <x:v>MANUAL</x:v>
      </x:c>
      <x:c r="G42" s="26" t="str">
        <x:v>VERIFIED</x:v>
      </x:c>
      <x:c r="H42" s="26" t="str">
        <x:v>EXACT</x:v>
      </x:c>
      <x:c r="I42" s="36" t="n">
        <x:v>46248</x:v>
      </x:c>
      <x:c r="J42" s="26" t="str">
        <x:v>ChatGPT/web research</x:v>
      </x:c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AST-000042</x:v>
      </x:c>
      <x:c r="B43" s="26" t="str">
        <x:v>TECHNICAL_FACT</x:v>
      </x:c>
      <x:c r="C43" s="26" t="str">
        <x:v>FAC-000042</x:v>
      </x:c>
      <x:c r="D43" s="26" t="str">
        <x:v>SRC-000015</x:v>
      </x:c>
      <x:c r="E43" s="26" t="str">
        <x:v>technical data p.4–5</x:v>
      </x:c>
      <x:c r="F43" s="26" t="str">
        <x:v>MANUAL</x:v>
      </x:c>
      <x:c r="G43" s="26" t="str">
        <x:v>VERIFIED</x:v>
      </x:c>
      <x:c r="H43" s="26" t="str">
        <x:v>EXACT</x:v>
      </x:c>
      <x:c r="I43" s="36" t="n">
        <x:v>46248</x:v>
      </x:c>
      <x:c r="J43" s="26" t="str">
        <x:v>ChatGPT/web research</x:v>
      </x:c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AST-000043</x:v>
      </x:c>
      <x:c r="B44" s="26" t="str">
        <x:v>TECHNICAL_FACT</x:v>
      </x:c>
      <x:c r="C44" s="26" t="str">
        <x:v>FAC-000043</x:v>
      </x:c>
      <x:c r="D44" s="26" t="str">
        <x:v>SRC-000015</x:v>
      </x:c>
      <x:c r="E44" s="26" t="str">
        <x:v>technical data p.4–5</x:v>
      </x:c>
      <x:c r="F44" s="26" t="str">
        <x:v>MANUAL</x:v>
      </x:c>
      <x:c r="G44" s="26" t="str">
        <x:v>VERIFIED</x:v>
      </x:c>
      <x:c r="H44" s="26" t="str">
        <x:v>EXACT</x:v>
      </x:c>
      <x:c r="I44" s="36" t="n">
        <x:v>46248</x:v>
      </x:c>
      <x:c r="J44" s="26" t="str">
        <x:v>ChatGPT/web research</x:v>
      </x:c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AST-000044</x:v>
      </x:c>
      <x:c r="B45" s="26" t="str">
        <x:v>TECHNICAL_FACT</x:v>
      </x:c>
      <x:c r="C45" s="26" t="str">
        <x:v>FAC-000044</x:v>
      </x:c>
      <x:c r="D45" s="26" t="str">
        <x:v>SRC-000015</x:v>
      </x:c>
      <x:c r="E45" s="26" t="str">
        <x:v>technical data p.4–5</x:v>
      </x:c>
      <x:c r="F45" s="26" t="str">
        <x:v>MANUAL</x:v>
      </x:c>
      <x:c r="G45" s="26" t="str">
        <x:v>VERIFIED</x:v>
      </x:c>
      <x:c r="H45" s="26" t="str">
        <x:v>EXACT</x:v>
      </x:c>
      <x:c r="I45" s="36" t="n">
        <x:v>46248</x:v>
      </x:c>
      <x:c r="J45" s="26" t="str">
        <x:v>ChatGPT/web research</x:v>
      </x:c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AST-000045</x:v>
      </x:c>
      <x:c r="B46" s="26" t="str">
        <x:v>TECHNICAL_FACT</x:v>
      </x:c>
      <x:c r="C46" s="26" t="str">
        <x:v>FAC-000045</x:v>
      </x:c>
      <x:c r="D46" s="26" t="str">
        <x:v>SRC-000015</x:v>
      </x:c>
      <x:c r="E46" s="26" t="str">
        <x:v>technical data p.4–5</x:v>
      </x:c>
      <x:c r="F46" s="26" t="str">
        <x:v>MANUAL</x:v>
      </x:c>
      <x:c r="G46" s="26" t="str">
        <x:v>VERIFIED</x:v>
      </x:c>
      <x:c r="H46" s="26" t="str">
        <x:v>EXACT</x:v>
      </x:c>
      <x:c r="I46" s="36" t="n">
        <x:v>46248</x:v>
      </x:c>
      <x:c r="J46" s="26" t="str">
        <x:v>ChatGPT/web research</x:v>
      </x:c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AST-000046</x:v>
      </x:c>
      <x:c r="B47" s="26" t="str">
        <x:v>TECHNICAL_FACT</x:v>
      </x:c>
      <x:c r="C47" s="26" t="str">
        <x:v>FAC-000046</x:v>
      </x:c>
      <x:c r="D47" s="26" t="str">
        <x:v>SRC-000015</x:v>
      </x:c>
      <x:c r="E47" s="26" t="str">
        <x:v>technical data p.4–5</x:v>
      </x:c>
      <x:c r="F47" s="26" t="str">
        <x:v>MANUAL</x:v>
      </x:c>
      <x:c r="G47" s="26" t="str">
        <x:v>VERIFIED</x:v>
      </x:c>
      <x:c r="H47" s="26" t="str">
        <x:v>EXACT</x:v>
      </x:c>
      <x:c r="I47" s="36" t="n">
        <x:v>46248</x:v>
      </x:c>
      <x:c r="J47" s="26" t="str">
        <x:v>ChatGPT/web research</x:v>
      </x:c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AST-000047</x:v>
      </x:c>
      <x:c r="B48" s="26" t="str">
        <x:v>TECHNICAL_FACT</x:v>
      </x:c>
      <x:c r="C48" s="26" t="str">
        <x:v>FAC-000047</x:v>
      </x:c>
      <x:c r="D48" s="26" t="str">
        <x:v>SRC-000015</x:v>
      </x:c>
      <x:c r="E48" s="26" t="str">
        <x:v>technical data p.4–5</x:v>
      </x:c>
      <x:c r="F48" s="26" t="str">
        <x:v>MANUAL</x:v>
      </x:c>
      <x:c r="G48" s="26" t="str">
        <x:v>VERIFIED</x:v>
      </x:c>
      <x:c r="H48" s="26" t="str">
        <x:v>EXACT</x:v>
      </x:c>
      <x:c r="I48" s="36" t="n">
        <x:v>46248</x:v>
      </x:c>
      <x:c r="J48" s="26" t="str">
        <x:v>ChatGPT/web research</x:v>
      </x:c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AST-000048</x:v>
      </x:c>
      <x:c r="B49" s="26" t="str">
        <x:v>TECHNICAL_FACT</x:v>
      </x:c>
      <x:c r="C49" s="26" t="str">
        <x:v>FAC-000048</x:v>
      </x:c>
      <x:c r="D49" s="26" t="str">
        <x:v>SRC-000015</x:v>
      </x:c>
      <x:c r="E49" s="26" t="str">
        <x:v>technical data p.4–5</x:v>
      </x:c>
      <x:c r="F49" s="26" t="str">
        <x:v>MANUAL</x:v>
      </x:c>
      <x:c r="G49" s="26" t="str">
        <x:v>VERIFIED</x:v>
      </x:c>
      <x:c r="H49" s="26" t="str">
        <x:v>EXACT</x:v>
      </x:c>
      <x:c r="I49" s="36" t="n">
        <x:v>46248</x:v>
      </x:c>
      <x:c r="J49" s="26" t="str">
        <x:v>ChatGPT/web research</x:v>
      </x:c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 t="str">
        <x:v>AST-000049</x:v>
      </x:c>
      <x:c r="B50" s="26" t="str">
        <x:v>TECHNICAL_FACT</x:v>
      </x:c>
      <x:c r="C50" s="26" t="str">
        <x:v>FAC-000049</x:v>
      </x:c>
      <x:c r="D50" s="26" t="str">
        <x:v>SRC-000015</x:v>
      </x:c>
      <x:c r="E50" s="26" t="str">
        <x:v>technical data p.4–5</x:v>
      </x:c>
      <x:c r="F50" s="26" t="str">
        <x:v>MANUAL</x:v>
      </x:c>
      <x:c r="G50" s="26" t="str">
        <x:v>VERIFIED</x:v>
      </x:c>
      <x:c r="H50" s="26" t="str">
        <x:v>EXACT</x:v>
      </x:c>
      <x:c r="I50" s="36" t="n">
        <x:v>46248</x:v>
      </x:c>
      <x:c r="J50" s="26" t="str">
        <x:v>ChatGPT/web research</x:v>
      </x:c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 t="str">
        <x:v>AST-000050</x:v>
      </x:c>
      <x:c r="B51" s="26" t="str">
        <x:v>TECHNICAL_FACT</x:v>
      </x:c>
      <x:c r="C51" s="26" t="str">
        <x:v>FAC-000050</x:v>
      </x:c>
      <x:c r="D51" s="26" t="str">
        <x:v>SRC-000015</x:v>
      </x:c>
      <x:c r="E51" s="26" t="str">
        <x:v>technical data p.4–5</x:v>
      </x:c>
      <x:c r="F51" s="26" t="str">
        <x:v>MANUAL</x:v>
      </x:c>
      <x:c r="G51" s="26" t="str">
        <x:v>VERIFIED</x:v>
      </x:c>
      <x:c r="H51" s="26" t="str">
        <x:v>EXACT</x:v>
      </x:c>
      <x:c r="I51" s="36" t="n">
        <x:v>46248</x:v>
      </x:c>
      <x:c r="J51" s="26" t="str">
        <x:v>ChatGPT/web research</x:v>
      </x:c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 t="str">
        <x:v>AST-000051</x:v>
      </x:c>
      <x:c r="B52" s="26" t="str">
        <x:v>TECHNICAL_FACT</x:v>
      </x:c>
      <x:c r="C52" s="26" t="str">
        <x:v>FAC-000051</x:v>
      </x:c>
      <x:c r="D52" s="26" t="str">
        <x:v>SRC-000015</x:v>
      </x:c>
      <x:c r="E52" s="26" t="str">
        <x:v>technical data p.4–5</x:v>
      </x:c>
      <x:c r="F52" s="26" t="str">
        <x:v>MANUAL</x:v>
      </x:c>
      <x:c r="G52" s="26" t="str">
        <x:v>VERIFIED</x:v>
      </x:c>
      <x:c r="H52" s="26" t="str">
        <x:v>EXACT</x:v>
      </x:c>
      <x:c r="I52" s="36" t="n">
        <x:v>46248</x:v>
      </x:c>
      <x:c r="J52" s="26" t="str">
        <x:v>ChatGPT/web research</x:v>
      </x:c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 t="str">
        <x:v>AST-000052</x:v>
      </x:c>
      <x:c r="B53" s="26" t="str">
        <x:v>TECHNICAL_FACT</x:v>
      </x:c>
      <x:c r="C53" s="26" t="str">
        <x:v>FAC-000052</x:v>
      </x:c>
      <x:c r="D53" s="26" t="str">
        <x:v>SRC-000015</x:v>
      </x:c>
      <x:c r="E53" s="26" t="str">
        <x:v>technical data p.4–5</x:v>
      </x:c>
      <x:c r="F53" s="26" t="str">
        <x:v>MANUAL</x:v>
      </x:c>
      <x:c r="G53" s="26" t="str">
        <x:v>VERIFIED</x:v>
      </x:c>
      <x:c r="H53" s="26" t="str">
        <x:v>EXACT</x:v>
      </x:c>
      <x:c r="I53" s="36" t="n">
        <x:v>46248</x:v>
      </x:c>
      <x:c r="J53" s="26" t="str">
        <x:v>ChatGPT/web research</x:v>
      </x:c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 t="str">
        <x:v>AST-000053</x:v>
      </x:c>
      <x:c r="B54" s="26" t="str">
        <x:v>TECHNICAL_FACT</x:v>
      </x:c>
      <x:c r="C54" s="26" t="str">
        <x:v>FAC-000053</x:v>
      </x:c>
      <x:c r="D54" s="26" t="str">
        <x:v>SRC-000015</x:v>
      </x:c>
      <x:c r="E54" s="26" t="str">
        <x:v>technical data p.4–5</x:v>
      </x:c>
      <x:c r="F54" s="26" t="str">
        <x:v>MANUAL</x:v>
      </x:c>
      <x:c r="G54" s="26" t="str">
        <x:v>VERIFIED</x:v>
      </x:c>
      <x:c r="H54" s="26" t="str">
        <x:v>EXACT</x:v>
      </x:c>
      <x:c r="I54" s="36" t="n">
        <x:v>46248</x:v>
      </x:c>
      <x:c r="J54" s="26" t="str">
        <x:v>ChatGPT/web research</x:v>
      </x:c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 t="str">
        <x:v>AST-000054</x:v>
      </x:c>
      <x:c r="B55" s="26" t="str">
        <x:v>TECHNICAL_FACT</x:v>
      </x:c>
      <x:c r="C55" s="26" t="str">
        <x:v>FAC-000054</x:v>
      </x:c>
      <x:c r="D55" s="26" t="str">
        <x:v>SRC-000015</x:v>
      </x:c>
      <x:c r="E55" s="26" t="str">
        <x:v>technical data p.4</x:v>
      </x:c>
      <x:c r="F55" s="26" t="str">
        <x:v>MANUAL</x:v>
      </x:c>
      <x:c r="G55" s="26" t="str">
        <x:v>VERIFIED</x:v>
      </x:c>
      <x:c r="H55" s="26" t="str">
        <x:v>EXACT</x:v>
      </x:c>
      <x:c r="I55" s="36" t="n">
        <x:v>46248</x:v>
      </x:c>
      <x:c r="J55" s="26" t="str">
        <x:v>ChatGPT/web research</x:v>
      </x:c>
      <x:c r="K55" s="26" t="str">
        <x:v>Do not map to usable/gross without explicit semantics.</x:v>
      </x:c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 t="str">
        <x:v>AST-000055</x:v>
      </x:c>
      <x:c r="B56" s="26" t="str">
        <x:v>TECHNICAL_FACT</x:v>
      </x:c>
      <x:c r="C56" s="26" t="str">
        <x:v>FAC-000055</x:v>
      </x:c>
      <x:c r="D56" s="26" t="str">
        <x:v>SRC-000015</x:v>
      </x:c>
      <x:c r="E56" s="26" t="str">
        <x:v>technical data p.4</x:v>
      </x:c>
      <x:c r="F56" s="26" t="str">
        <x:v>MANUAL</x:v>
      </x:c>
      <x:c r="G56" s="26" t="str">
        <x:v>VERIFIED</x:v>
      </x:c>
      <x:c r="H56" s="26" t="str">
        <x:v>EXACT</x:v>
      </x:c>
      <x:c r="I56" s="36" t="n">
        <x:v>46248</x:v>
      </x:c>
      <x:c r="J56" s="26" t="str">
        <x:v>ChatGPT/web research</x:v>
      </x:c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 t="str">
        <x:v>AST-000056</x:v>
      </x:c>
      <x:c r="B57" s="26" t="str">
        <x:v>TECHNICAL_FACT</x:v>
      </x:c>
      <x:c r="C57" s="26" t="str">
        <x:v>FAC-000056</x:v>
      </x:c>
      <x:c r="D57" s="26" t="str">
        <x:v>SRC-000017</x:v>
      </x:c>
      <x:c r="E57" s="26" t="str">
        <x:v>EV3 technical table</x:v>
      </x:c>
      <x:c r="F57" s="26" t="str">
        <x:v>MANUAL</x:v>
      </x:c>
      <x:c r="G57" s="26" t="str">
        <x:v>VERIFIED</x:v>
      </x:c>
      <x:c r="H57" s="26" t="str">
        <x:v>EXACT</x:v>
      </x:c>
      <x:c r="I57" s="36" t="n">
        <x:v>46248</x:v>
      </x:c>
      <x:c r="J57" s="26" t="str">
        <x:v>ChatGPT/web research</x:v>
      </x:c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 t="str">
        <x:v>AST-000057</x:v>
      </x:c>
      <x:c r="B58" s="26" t="str">
        <x:v>TECHNICAL_FACT</x:v>
      </x:c>
      <x:c r="C58" s="26" t="str">
        <x:v>FAC-000057</x:v>
      </x:c>
      <x:c r="D58" s="26" t="str">
        <x:v>SRC-000017</x:v>
      </x:c>
      <x:c r="E58" s="26" t="str">
        <x:v>EV3 technical table</x:v>
      </x:c>
      <x:c r="F58" s="26" t="str">
        <x:v>MANUAL</x:v>
      </x:c>
      <x:c r="G58" s="26" t="str">
        <x:v>VERIFIED</x:v>
      </x:c>
      <x:c r="H58" s="26" t="str">
        <x:v>EXACT</x:v>
      </x:c>
      <x:c r="I58" s="36" t="n">
        <x:v>46248</x:v>
      </x:c>
      <x:c r="J58" s="26" t="str">
        <x:v>ChatGPT/web research</x:v>
      </x:c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 t="str">
        <x:v>AST-000058</x:v>
      </x:c>
      <x:c r="B59" s="26" t="str">
        <x:v>TECHNICAL_FACT</x:v>
      </x:c>
      <x:c r="C59" s="26" t="str">
        <x:v>FAC-000058</x:v>
      </x:c>
      <x:c r="D59" s="26" t="str">
        <x:v>SRC-000017</x:v>
      </x:c>
      <x:c r="E59" s="26" t="str">
        <x:v>EV3 technical table</x:v>
      </x:c>
      <x:c r="F59" s="26" t="str">
        <x:v>MANUAL</x:v>
      </x:c>
      <x:c r="G59" s="26" t="str">
        <x:v>VERIFIED</x:v>
      </x:c>
      <x:c r="H59" s="26" t="str">
        <x:v>EXACT</x:v>
      </x:c>
      <x:c r="I59" s="36" t="n">
        <x:v>46248</x:v>
      </x:c>
      <x:c r="J59" s="26" t="str">
        <x:v>ChatGPT/web research</x:v>
      </x:c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 t="str">
        <x:v>AST-000059</x:v>
      </x:c>
      <x:c r="B60" s="26" t="str">
        <x:v>TECHNICAL_FACT</x:v>
      </x:c>
      <x:c r="C60" s="26" t="str">
        <x:v>FAC-000059</x:v>
      </x:c>
      <x:c r="D60" s="26" t="str">
        <x:v>SRC-000017</x:v>
      </x:c>
      <x:c r="E60" s="26" t="str">
        <x:v>EV3 technical table</x:v>
      </x:c>
      <x:c r="F60" s="26" t="str">
        <x:v>MANUAL</x:v>
      </x:c>
      <x:c r="G60" s="26" t="str">
        <x:v>VERIFIED</x:v>
      </x:c>
      <x:c r="H60" s="26" t="str">
        <x:v>EXACT</x:v>
      </x:c>
      <x:c r="I60" s="36" t="n">
        <x:v>46248</x:v>
      </x:c>
      <x:c r="J60" s="26" t="str">
        <x:v>ChatGPT/web research</x:v>
      </x:c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 t="str">
        <x:v>AST-000060</x:v>
      </x:c>
      <x:c r="B61" s="26" t="str">
        <x:v>TECHNICAL_FACT</x:v>
      </x:c>
      <x:c r="C61" s="26" t="str">
        <x:v>FAC-000060</x:v>
      </x:c>
      <x:c r="D61" s="26" t="str">
        <x:v>SRC-000017</x:v>
      </x:c>
      <x:c r="E61" s="26" t="str">
        <x:v>EV3 technical table</x:v>
      </x:c>
      <x:c r="F61" s="26" t="str">
        <x:v>MANUAL</x:v>
      </x:c>
      <x:c r="G61" s="26" t="str">
        <x:v>VERIFIED</x:v>
      </x:c>
      <x:c r="H61" s="26" t="str">
        <x:v>EXACT</x:v>
      </x:c>
      <x:c r="I61" s="36" t="n">
        <x:v>46248</x:v>
      </x:c>
      <x:c r="J61" s="26" t="str">
        <x:v>ChatGPT/web research</x:v>
      </x:c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 t="str">
        <x:v>AST-000061</x:v>
      </x:c>
      <x:c r="B62" s="26" t="str">
        <x:v>TECHNICAL_FACT</x:v>
      </x:c>
      <x:c r="C62" s="26" t="str">
        <x:v>FAC-000061</x:v>
      </x:c>
      <x:c r="D62" s="26" t="str">
        <x:v>SRC-000017</x:v>
      </x:c>
      <x:c r="E62" s="26" t="str">
        <x:v>EV3 technical table</x:v>
      </x:c>
      <x:c r="F62" s="26" t="str">
        <x:v>MANUAL</x:v>
      </x:c>
      <x:c r="G62" s="26" t="str">
        <x:v>VERIFIED</x:v>
      </x:c>
      <x:c r="H62" s="26" t="str">
        <x:v>EXACT</x:v>
      </x:c>
      <x:c r="I62" s="36" t="n">
        <x:v>46248</x:v>
      </x:c>
      <x:c r="J62" s="26" t="str">
        <x:v>ChatGPT/web research</x:v>
      </x:c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 t="str">
        <x:v>AST-000062</x:v>
      </x:c>
      <x:c r="B63" s="26" t="str">
        <x:v>TECHNICAL_FACT</x:v>
      </x:c>
      <x:c r="C63" s="26" t="str">
        <x:v>FAC-000062</x:v>
      </x:c>
      <x:c r="D63" s="26" t="str">
        <x:v>SRC-000017</x:v>
      </x:c>
      <x:c r="E63" s="26" t="str">
        <x:v>EV3 technical table</x:v>
      </x:c>
      <x:c r="F63" s="26" t="str">
        <x:v>MANUAL</x:v>
      </x:c>
      <x:c r="G63" s="26" t="str">
        <x:v>VERIFIED</x:v>
      </x:c>
      <x:c r="H63" s="26" t="str">
        <x:v>EXACT</x:v>
      </x:c>
      <x:c r="I63" s="36" t="n">
        <x:v>46248</x:v>
      </x:c>
      <x:c r="J63" s="26" t="str">
        <x:v>ChatGPT/web research</x:v>
      </x:c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 t="str">
        <x:v>AST-000063</x:v>
      </x:c>
      <x:c r="B64" s="26" t="str">
        <x:v>TECHNICAL_FACT</x:v>
      </x:c>
      <x:c r="C64" s="26" t="str">
        <x:v>FAC-000063</x:v>
      </x:c>
      <x:c r="D64" s="26" t="str">
        <x:v>SRC-000017</x:v>
      </x:c>
      <x:c r="E64" s="26" t="str">
        <x:v>EV3 technical table</x:v>
      </x:c>
      <x:c r="F64" s="26" t="str">
        <x:v>MANUAL</x:v>
      </x:c>
      <x:c r="G64" s="26" t="str">
        <x:v>VERIFIED</x:v>
      </x:c>
      <x:c r="H64" s="26" t="str">
        <x:v>EXACT</x:v>
      </x:c>
      <x:c r="I64" s="36" t="n">
        <x:v>46248</x:v>
      </x:c>
      <x:c r="J64" s="26" t="str">
        <x:v>ChatGPT/web research</x:v>
      </x:c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 t="str">
        <x:v>AST-000064</x:v>
      </x:c>
      <x:c r="B65" s="26" t="str">
        <x:v>TECHNICAL_FACT</x:v>
      </x:c>
      <x:c r="C65" s="26" t="str">
        <x:v>FAC-000064</x:v>
      </x:c>
      <x:c r="D65" s="26" t="str">
        <x:v>SRC-000017</x:v>
      </x:c>
      <x:c r="E65" s="26" t="str">
        <x:v>EV3 technical table</x:v>
      </x:c>
      <x:c r="F65" s="26" t="str">
        <x:v>MANUAL</x:v>
      </x:c>
      <x:c r="G65" s="26" t="str">
        <x:v>VERIFIED</x:v>
      </x:c>
      <x:c r="H65" s="26" t="str">
        <x:v>EXACT</x:v>
      </x:c>
      <x:c r="I65" s="36" t="n">
        <x:v>46248</x:v>
      </x:c>
      <x:c r="J65" s="26" t="str">
        <x:v>ChatGPT/web research</x:v>
      </x:c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 t="str">
        <x:v>AST-000065</x:v>
      </x:c>
      <x:c r="B66" s="26" t="str">
        <x:v>TECHNICAL_FACT</x:v>
      </x:c>
      <x:c r="C66" s="26" t="str">
        <x:v>FAC-000065</x:v>
      </x:c>
      <x:c r="D66" s="26" t="str">
        <x:v>SRC-000017</x:v>
      </x:c>
      <x:c r="E66" s="26" t="str">
        <x:v>EV3 technical table</x:v>
      </x:c>
      <x:c r="F66" s="26" t="str">
        <x:v>MANUAL</x:v>
      </x:c>
      <x:c r="G66" s="26" t="str">
        <x:v>VERIFIED</x:v>
      </x:c>
      <x:c r="H66" s="26" t="str">
        <x:v>EXACT</x:v>
      </x:c>
      <x:c r="I66" s="36" t="n">
        <x:v>46248</x:v>
      </x:c>
      <x:c r="J66" s="26" t="str">
        <x:v>ChatGPT/web research</x:v>
      </x:c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 t="str">
        <x:v>AST-000066</x:v>
      </x:c>
      <x:c r="B67" s="26" t="str">
        <x:v>TECHNICAL_FACT</x:v>
      </x:c>
      <x:c r="C67" s="26" t="str">
        <x:v>FAC-000066</x:v>
      </x:c>
      <x:c r="D67" s="26" t="str">
        <x:v>SRC-000017</x:v>
      </x:c>
      <x:c r="E67" s="26" t="str">
        <x:v>EV3 technical table</x:v>
      </x:c>
      <x:c r="F67" s="26" t="str">
        <x:v>MANUAL</x:v>
      </x:c>
      <x:c r="G67" s="26" t="str">
        <x:v>VERIFIED</x:v>
      </x:c>
      <x:c r="H67" s="26" t="str">
        <x:v>EXACT</x:v>
      </x:c>
      <x:c r="I67" s="36" t="n">
        <x:v>46248</x:v>
      </x:c>
      <x:c r="J67" s="26" t="str">
        <x:v>ChatGPT/web research</x:v>
      </x:c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 t="str">
        <x:v>AST-000067</x:v>
      </x:c>
      <x:c r="B68" s="26" t="str">
        <x:v>TECHNICAL_FACT</x:v>
      </x:c>
      <x:c r="C68" s="26" t="str">
        <x:v>FAC-000067</x:v>
      </x:c>
      <x:c r="D68" s="26" t="str">
        <x:v>SRC-000017</x:v>
      </x:c>
      <x:c r="E68" s="26" t="str">
        <x:v>EV3 technical table</x:v>
      </x:c>
      <x:c r="F68" s="26" t="str">
        <x:v>MANUAL</x:v>
      </x:c>
      <x:c r="G68" s="26" t="str">
        <x:v>VERIFIED</x:v>
      </x:c>
      <x:c r="H68" s="26" t="str">
        <x:v>EXACT</x:v>
      </x:c>
      <x:c r="I68" s="36" t="n">
        <x:v>46248</x:v>
      </x:c>
      <x:c r="J68" s="26" t="str">
        <x:v>ChatGPT/web research</x:v>
      </x:c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 t="str">
        <x:v>AST-000068</x:v>
      </x:c>
      <x:c r="B69" s="26" t="str">
        <x:v>TECHNICAL_FACT</x:v>
      </x:c>
      <x:c r="C69" s="26" t="str">
        <x:v>FAC-000068</x:v>
      </x:c>
      <x:c r="D69" s="26" t="str">
        <x:v>SRC-000017</x:v>
      </x:c>
      <x:c r="E69" s="26" t="str">
        <x:v>EV3 technical table</x:v>
      </x:c>
      <x:c r="F69" s="26" t="str">
        <x:v>MANUAL</x:v>
      </x:c>
      <x:c r="G69" s="26" t="str">
        <x:v>VERIFIED</x:v>
      </x:c>
      <x:c r="H69" s="26" t="str">
        <x:v>EXACT</x:v>
      </x:c>
      <x:c r="I69" s="36" t="n">
        <x:v>46248</x:v>
      </x:c>
      <x:c r="J69" s="26" t="str">
        <x:v>ChatGPT/web research</x:v>
      </x:c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 t="str">
        <x:v>AST-000069</x:v>
      </x:c>
      <x:c r="B70" s="26" t="str">
        <x:v>TECHNICAL_FACT</x:v>
      </x:c>
      <x:c r="C70" s="26" t="str">
        <x:v>FAC-000069</x:v>
      </x:c>
      <x:c r="D70" s="26" t="str">
        <x:v>SRC-000017</x:v>
      </x:c>
      <x:c r="E70" s="26" t="str">
        <x:v>battery/charging table</x:v>
      </x:c>
      <x:c r="F70" s="26" t="str">
        <x:v>MANUAL</x:v>
      </x:c>
      <x:c r="G70" s="26" t="str">
        <x:v>VERIFIED</x:v>
      </x:c>
      <x:c r="H70" s="26" t="str">
        <x:v>EXACT</x:v>
      </x:c>
      <x:c r="I70" s="36" t="n">
        <x:v>46248</x:v>
      </x:c>
      <x:c r="J70" s="26" t="str">
        <x:v>ChatGPT/web research</x:v>
      </x:c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 t="str">
        <x:v>AST-000070</x:v>
      </x:c>
      <x:c r="B71" s="26" t="str">
        <x:v>TECHNICAL_FACT</x:v>
      </x:c>
      <x:c r="C71" s="26" t="str">
        <x:v>FAC-000070</x:v>
      </x:c>
      <x:c r="D71" s="26" t="str">
        <x:v>SRC-000017</x:v>
      </x:c>
      <x:c r="E71" s="26" t="str">
        <x:v>battery/charging table</x:v>
      </x:c>
      <x:c r="F71" s="26" t="str">
        <x:v>MANUAL</x:v>
      </x:c>
      <x:c r="G71" s="26" t="str">
        <x:v>VERIFIED</x:v>
      </x:c>
      <x:c r="H71" s="26" t="str">
        <x:v>EXACT</x:v>
      </x:c>
      <x:c r="I71" s="36" t="n">
        <x:v>46248</x:v>
      </x:c>
      <x:c r="J71" s="26" t="str">
        <x:v>ChatGPT/web research</x:v>
      </x:c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 t="str">
        <x:v>AST-000071</x:v>
      </x:c>
      <x:c r="B72" s="26" t="str">
        <x:v>TECHNICAL_FACT</x:v>
      </x:c>
      <x:c r="C72" s="26" t="str">
        <x:v>FAC-000071</x:v>
      </x:c>
      <x:c r="D72" s="26" t="str">
        <x:v>SRC-000019</x:v>
      </x:c>
      <x:c r="E72" s="26" t="str">
        <x:v>technical specifications</x:v>
      </x:c>
      <x:c r="F72" s="26" t="str">
        <x:v>MANUAL</x:v>
      </x:c>
      <x:c r="G72" s="26" t="str">
        <x:v>UNVERIFIED</x:v>
      </x:c>
      <x:c r="H72" s="26" t="str">
        <x:v>PARTIAL</x:v>
      </x:c>
      <x:c r="I72" s="36"/>
      <x:c r="J72" s="26" t="str">
        <x:v>ChatGPT/web research</x:v>
      </x:c>
      <x:c r="K72" s="26" t="str">
        <x:v>Exact CFG mapping pending.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 t="str">
        <x:v>AST-000072</x:v>
      </x:c>
      <x:c r="B73" s="26" t="str">
        <x:v>TECHNICAL_FACT</x:v>
      </x:c>
      <x:c r="C73" s="26" t="str">
        <x:v>FAC-000072</x:v>
      </x:c>
      <x:c r="D73" s="26" t="str">
        <x:v>SRC-000008</x:v>
      </x:c>
      <x:c r="E73" s="26" t="str">
        <x:v>product highlights</x:v>
      </x:c>
      <x:c r="F73" s="26" t="str">
        <x:v>MANUAL</x:v>
      </x:c>
      <x:c r="G73" s="26" t="str">
        <x:v>UNVERIFIED</x:v>
      </x:c>
      <x:c r="H73" s="26" t="str">
        <x:v>PARTIAL</x:v>
      </x:c>
      <x:c r="I73" s="36"/>
      <x:c r="J73" s="26" t="str">
        <x:v>ChatGPT/web research</x:v>
      </x:c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 t="str">
        <x:v>AST-000073</x:v>
      </x:c>
      <x:c r="B74" s="26" t="str">
        <x:v>TECHNICAL_FACT</x:v>
      </x:c>
      <x:c r="C74" s="26" t="str">
        <x:v>FAC-000073</x:v>
      </x:c>
      <x:c r="D74" s="26" t="str">
        <x:v>SRC-000019</x:v>
      </x:c>
      <x:c r="E74" s="26" t="str">
        <x:v>technical specifications</x:v>
      </x:c>
      <x:c r="F74" s="26" t="str">
        <x:v>MANUAL</x:v>
      </x:c>
      <x:c r="G74" s="26" t="str">
        <x:v>UNVERIFIED</x:v>
      </x:c>
      <x:c r="H74" s="26" t="str">
        <x:v>PARTIAL</x:v>
      </x:c>
      <x:c r="I74" s="36"/>
      <x:c r="J74" s="26" t="str">
        <x:v>ChatGPT/web research</x:v>
      </x:c>
      <x:c r="K74" s="26" t="str">
        <x:v>Do not merge with 523 km until identity is resolved.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 t="str">
        <x:v>AST-000074</x:v>
      </x:c>
      <x:c r="B75" s="26" t="str">
        <x:v>TECHNICAL_FACT</x:v>
      </x:c>
      <x:c r="C75" s="26" t="str">
        <x:v>FAC-000074</x:v>
      </x:c>
      <x:c r="D75" s="26" t="str">
        <x:v>SRC-000019</x:v>
      </x:c>
      <x:c r="E75" s="26" t="str">
        <x:v>technical specifications</x:v>
      </x:c>
      <x:c r="F75" s="26" t="str">
        <x:v>MANUAL</x:v>
      </x:c>
      <x:c r="G75" s="26" t="str">
        <x:v>UNVERIFIED</x:v>
      </x:c>
      <x:c r="H75" s="26" t="str">
        <x:v>PARTIAL</x:v>
      </x:c>
      <x:c r="I75" s="36"/>
      <x:c r="J75" s="26" t="str">
        <x:v>ChatGPT/web research</x:v>
      </x:c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 t="str">
        <x:v>AST-000075</x:v>
      </x:c>
      <x:c r="B76" s="26" t="str">
        <x:v>TECHNICAL_FACT</x:v>
      </x:c>
      <x:c r="C76" s="26" t="str">
        <x:v>FAC-000075</x:v>
      </x:c>
      <x:c r="D76" s="26" t="str">
        <x:v>SRC-000008</x:v>
      </x:c>
      <x:c r="E76" s="26" t="str">
        <x:v>product highlights</x:v>
      </x:c>
      <x:c r="F76" s="26" t="str">
        <x:v>MANUAL</x:v>
      </x:c>
      <x:c r="G76" s="26" t="str">
        <x:v>UNVERIFIED</x:v>
      </x:c>
      <x:c r="H76" s="26" t="str">
        <x:v>PARTIAL</x:v>
      </x:c>
      <x:c r="I76" s="36"/>
      <x:c r="J76" s="26" t="str">
        <x:v>ChatGPT/web research</x:v>
      </x:c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 t="str">
        <x:v>AST-000076</x:v>
      </x:c>
      <x:c r="B77" s="26" t="str">
        <x:v>TECHNICAL_FACT</x:v>
      </x:c>
      <x:c r="C77" s="26" t="str">
        <x:v>FAC-000076</x:v>
      </x:c>
      <x:c r="D77" s="26" t="str">
        <x:v>SRC-000019</x:v>
      </x:c>
      <x:c r="E77" s="26" t="str">
        <x:v>technical specifications</x:v>
      </x:c>
      <x:c r="F77" s="26" t="str">
        <x:v>MANUAL</x:v>
      </x:c>
      <x:c r="G77" s="26" t="str">
        <x:v>UNVERIFIED</x:v>
      </x:c>
      <x:c r="H77" s="26" t="str">
        <x:v>PARTIAL</x:v>
      </x:c>
      <x:c r="I77" s="36"/>
      <x:c r="J77" s="26" t="str">
        <x:v>ChatGPT/web research</x:v>
      </x:c>
      <x:c r="K77" s="26" t="str">
        <x:v>Official-source discrepancy preserved.</x:v>
      </x:c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 t="str">
        <x:v>AST-000077</x:v>
      </x:c>
      <x:c r="B78" s="26" t="str">
        <x:v>TECHNICAL_FACT</x:v>
      </x:c>
      <x:c r="C78" s="26" t="str">
        <x:v>FAC-000077</x:v>
      </x:c>
      <x:c r="D78" s="26" t="str">
        <x:v>SRC-000020</x:v>
      </x:c>
      <x:c r="E78" s="26" t="str">
        <x:v>comparison technical table</x:v>
      </x:c>
      <x:c r="F78" s="26" t="str">
        <x:v>MANUAL</x:v>
      </x:c>
      <x:c r="G78" s="26" t="str">
        <x:v>VERIFIED</x:v>
      </x:c>
      <x:c r="H78" s="26" t="str">
        <x:v>EXACT</x:v>
      </x:c>
      <x:c r="I78" s="36" t="n">
        <x:v>46248</x:v>
      </x:c>
      <x:c r="J78" s="26" t="str">
        <x:v>ChatGPT/web research</x:v>
      </x:c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 t="str">
        <x:v>AST-000078</x:v>
      </x:c>
      <x:c r="B79" s="26" t="str">
        <x:v>TECHNICAL_FACT</x:v>
      </x:c>
      <x:c r="C79" s="26" t="str">
        <x:v>FAC-000078</x:v>
      </x:c>
      <x:c r="D79" s="26" t="str">
        <x:v>SRC-000020</x:v>
      </x:c>
      <x:c r="E79" s="26" t="str">
        <x:v>comparison technical table</x:v>
      </x:c>
      <x:c r="F79" s="26" t="str">
        <x:v>MANUAL</x:v>
      </x:c>
      <x:c r="G79" s="26" t="str">
        <x:v>VERIFIED</x:v>
      </x:c>
      <x:c r="H79" s="26" t="str">
        <x:v>EXACT</x:v>
      </x:c>
      <x:c r="I79" s="36" t="n">
        <x:v>46248</x:v>
      </x:c>
      <x:c r="J79" s="26" t="str">
        <x:v>ChatGPT/web research</x:v>
      </x:c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 t="str">
        <x:v>AST-000079</x:v>
      </x:c>
      <x:c r="B80" s="26" t="str">
        <x:v>TECHNICAL_FACT</x:v>
      </x:c>
      <x:c r="C80" s="26" t="str">
        <x:v>FAC-000079</x:v>
      </x:c>
      <x:c r="D80" s="26" t="str">
        <x:v>SRC-000020</x:v>
      </x:c>
      <x:c r="E80" s="26" t="str">
        <x:v>comparison technical table</x:v>
      </x:c>
      <x:c r="F80" s="26" t="str">
        <x:v>MANUAL</x:v>
      </x:c>
      <x:c r="G80" s="26" t="str">
        <x:v>VERIFIED</x:v>
      </x:c>
      <x:c r="H80" s="26" t="str">
        <x:v>EXACT</x:v>
      </x:c>
      <x:c r="I80" s="36" t="n">
        <x:v>46248</x:v>
      </x:c>
      <x:c r="J80" s="26" t="str">
        <x:v>ChatGPT/web research</x:v>
      </x:c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 t="str">
        <x:v>AST-000080</x:v>
      </x:c>
      <x:c r="B81" s="26" t="str">
        <x:v>TECHNICAL_FACT</x:v>
      </x:c>
      <x:c r="C81" s="26" t="str">
        <x:v>FAC-000080</x:v>
      </x:c>
      <x:c r="D81" s="26" t="str">
        <x:v>SRC-000020</x:v>
      </x:c>
      <x:c r="E81" s="26" t="str">
        <x:v>comparison technical table</x:v>
      </x:c>
      <x:c r="F81" s="26" t="str">
        <x:v>MANUAL</x:v>
      </x:c>
      <x:c r="G81" s="26" t="str">
        <x:v>VERIFIED</x:v>
      </x:c>
      <x:c r="H81" s="26" t="str">
        <x:v>EXACT</x:v>
      </x:c>
      <x:c r="I81" s="36" t="n">
        <x:v>46248</x:v>
      </x:c>
      <x:c r="J81" s="26" t="str">
        <x:v>ChatGPT/web research</x:v>
      </x:c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 t="str">
        <x:v>AST-000081</x:v>
      </x:c>
      <x:c r="B82" s="26" t="str">
        <x:v>TECHNICAL_FACT</x:v>
      </x:c>
      <x:c r="C82" s="26" t="str">
        <x:v>FAC-000081</x:v>
      </x:c>
      <x:c r="D82" s="26" t="str">
        <x:v>SRC-000020</x:v>
      </x:c>
      <x:c r="E82" s="26" t="str">
        <x:v>comparison technical table</x:v>
      </x:c>
      <x:c r="F82" s="26" t="str">
        <x:v>MANUAL</x:v>
      </x:c>
      <x:c r="G82" s="26" t="str">
        <x:v>VERIFIED</x:v>
      </x:c>
      <x:c r="H82" s="26" t="str">
        <x:v>EXACT</x:v>
      </x:c>
      <x:c r="I82" s="36" t="n">
        <x:v>46248</x:v>
      </x:c>
      <x:c r="J82" s="26" t="str">
        <x:v>ChatGPT/web research</x:v>
      </x:c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 t="str">
        <x:v>AST-000082</x:v>
      </x:c>
      <x:c r="B83" s="26" t="str">
        <x:v>TECHNICAL_FACT</x:v>
      </x:c>
      <x:c r="C83" s="26" t="str">
        <x:v>FAC-000082</x:v>
      </x:c>
      <x:c r="D83" s="26" t="str">
        <x:v>SRC-000020</x:v>
      </x:c>
      <x:c r="E83" s="26" t="str">
        <x:v>comparison technical table</x:v>
      </x:c>
      <x:c r="F83" s="26" t="str">
        <x:v>MANUAL</x:v>
      </x:c>
      <x:c r="G83" s="26" t="str">
        <x:v>VERIFIED</x:v>
      </x:c>
      <x:c r="H83" s="26" t="str">
        <x:v>EXACT</x:v>
      </x:c>
      <x:c r="I83" s="36" t="n">
        <x:v>46248</x:v>
      </x:c>
      <x:c r="J83" s="26" t="str">
        <x:v>ChatGPT/web research</x:v>
      </x:c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 t="str">
        <x:v>AST-000083</x:v>
      </x:c>
      <x:c r="B84" s="26" t="str">
        <x:v>TECHNICAL_FACT</x:v>
      </x:c>
      <x:c r="C84" s="26" t="str">
        <x:v>FAC-000083</x:v>
      </x:c>
      <x:c r="D84" s="26" t="str">
        <x:v>SRC-000020</x:v>
      </x:c>
      <x:c r="E84" s="26" t="str">
        <x:v>comparison technical table</x:v>
      </x:c>
      <x:c r="F84" s="26" t="str">
        <x:v>MANUAL</x:v>
      </x:c>
      <x:c r="G84" s="26" t="str">
        <x:v>VERIFIED</x:v>
      </x:c>
      <x:c r="H84" s="26" t="str">
        <x:v>EXACT</x:v>
      </x:c>
      <x:c r="I84" s="36" t="n">
        <x:v>46248</x:v>
      </x:c>
      <x:c r="J84" s="26" t="str">
        <x:v>ChatGPT/web research</x:v>
      </x:c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 t="str">
        <x:v>AST-000084</x:v>
      </x:c>
      <x:c r="B85" s="26" t="str">
        <x:v>TECHNICAL_FACT</x:v>
      </x:c>
      <x:c r="C85" s="26" t="str">
        <x:v>FAC-000084</x:v>
      </x:c>
      <x:c r="D85" s="26" t="str">
        <x:v>SRC-000009</x:v>
      </x:c>
      <x:c r="E85" s="26" t="str">
        <x:v>cargo section</x:v>
      </x:c>
      <x:c r="F85" s="26" t="str">
        <x:v>MANUAL</x:v>
      </x:c>
      <x:c r="G85" s="26" t="str">
        <x:v>VERIFIED</x:v>
      </x:c>
      <x:c r="H85" s="26" t="str">
        <x:v>EXACT</x:v>
      </x:c>
      <x:c r="I85" s="36" t="n">
        <x:v>46248</x:v>
      </x:c>
      <x:c r="J85" s="26" t="str">
        <x:v>ChatGPT/web research</x:v>
      </x:c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 t="str">
        <x:v>AST-000085</x:v>
      </x:c>
      <x:c r="B86" s="26" t="str">
        <x:v>EQUIPMENT_FACT</x:v>
      </x:c>
      <x:c r="C86" s="26" t="str">
        <x:v>EQP-000001</x:v>
      </x:c>
      <x:c r="D86" s="26" t="str">
        <x:v>SRC-000011</x:v>
      </x:c>
      <x:c r="E86" s="26" t="str">
        <x:v>equipment section</x:v>
      </x:c>
      <x:c r="F86" s="26" t="str">
        <x:v>MANUAL</x:v>
      </x:c>
      <x:c r="G86" s="26" t="str">
        <x:v>VERIFIED</x:v>
      </x:c>
      <x:c r="H86" s="26" t="str">
        <x:v>EXACT</x:v>
      </x:c>
      <x:c r="I86" s="36" t="n">
        <x:v>46248</x:v>
      </x:c>
      <x:c r="J86" s="26" t="str">
        <x:v>ChatGPT/web research</x:v>
      </x:c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 t="str">
        <x:v>AST-000086</x:v>
      </x:c>
      <x:c r="B87" s="26" t="str">
        <x:v>EQUIPMENT_FACT</x:v>
      </x:c>
      <x:c r="C87" s="26" t="str">
        <x:v>EQP-000002</x:v>
      </x:c>
      <x:c r="D87" s="26" t="str">
        <x:v>SRC-000011</x:v>
      </x:c>
      <x:c r="E87" s="26" t="str">
        <x:v>equipment section</x:v>
      </x:c>
      <x:c r="F87" s="26" t="str">
        <x:v>MANUAL</x:v>
      </x:c>
      <x:c r="G87" s="26" t="str">
        <x:v>VERIFIED</x:v>
      </x:c>
      <x:c r="H87" s="26" t="str">
        <x:v>EXACT</x:v>
      </x:c>
      <x:c r="I87" s="36" t="n">
        <x:v>46248</x:v>
      </x:c>
      <x:c r="J87" s="26" t="str">
        <x:v>ChatGPT/web research</x:v>
      </x:c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 t="str">
        <x:v>AST-000087</x:v>
      </x:c>
      <x:c r="B88" s="26" t="str">
        <x:v>EQUIPMENT_FACT</x:v>
      </x:c>
      <x:c r="C88" s="26" t="str">
        <x:v>EQP-000003</x:v>
      </x:c>
      <x:c r="D88" s="26" t="str">
        <x:v>SRC-000011</x:v>
      </x:c>
      <x:c r="E88" s="26" t="str">
        <x:v>equipment section</x:v>
      </x:c>
      <x:c r="F88" s="26" t="str">
        <x:v>MANUAL</x:v>
      </x:c>
      <x:c r="G88" s="26" t="str">
        <x:v>VERIFIED</x:v>
      </x:c>
      <x:c r="H88" s="26" t="str">
        <x:v>EXACT</x:v>
      </x:c>
      <x:c r="I88" s="36" t="n">
        <x:v>46248</x:v>
      </x:c>
      <x:c r="J88" s="26" t="str">
        <x:v>ChatGPT/web research</x:v>
      </x:c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 t="str">
        <x:v>AST-000088</x:v>
      </x:c>
      <x:c r="B89" s="26" t="str">
        <x:v>EQUIPMENT_FACT</x:v>
      </x:c>
      <x:c r="C89" s="26" t="str">
        <x:v>EQP-000004</x:v>
      </x:c>
      <x:c r="D89" s="26" t="str">
        <x:v>SRC-000011</x:v>
      </x:c>
      <x:c r="E89" s="26" t="str">
        <x:v>equipment section</x:v>
      </x:c>
      <x:c r="F89" s="26" t="str">
        <x:v>MANUAL</x:v>
      </x:c>
      <x:c r="G89" s="26" t="str">
        <x:v>VERIFIED</x:v>
      </x:c>
      <x:c r="H89" s="26" t="str">
        <x:v>EXACT</x:v>
      </x:c>
      <x:c r="I89" s="36" t="n">
        <x:v>46248</x:v>
      </x:c>
      <x:c r="J89" s="26" t="str">
        <x:v>ChatGPT/web research</x:v>
      </x:c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 t="str">
        <x:v>AST-000089</x:v>
      </x:c>
      <x:c r="B90" s="26" t="str">
        <x:v>EQUIPMENT_FACT</x:v>
      </x:c>
      <x:c r="C90" s="26" t="str">
        <x:v>EQP-000005</x:v>
      </x:c>
      <x:c r="D90" s="26" t="str">
        <x:v>SRC-000011</x:v>
      </x:c>
      <x:c r="E90" s="26" t="str">
        <x:v>equipment section</x:v>
      </x:c>
      <x:c r="F90" s="26" t="str">
        <x:v>MANUAL</x:v>
      </x:c>
      <x:c r="G90" s="26" t="str">
        <x:v>VERIFIED</x:v>
      </x:c>
      <x:c r="H90" s="26" t="str">
        <x:v>EXACT</x:v>
      </x:c>
      <x:c r="I90" s="36" t="n">
        <x:v>46248</x:v>
      </x:c>
      <x:c r="J90" s="26" t="str">
        <x:v>ChatGPT/web research</x:v>
      </x:c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 t="str">
        <x:v>AST-000090</x:v>
      </x:c>
      <x:c r="B91" s="26" t="str">
        <x:v>EQUIPMENT_FACT</x:v>
      </x:c>
      <x:c r="C91" s="26" t="str">
        <x:v>EQP-000006</x:v>
      </x:c>
      <x:c r="D91" s="26" t="str">
        <x:v>SRC-000011</x:v>
      </x:c>
      <x:c r="E91" s="26" t="str">
        <x:v>equipment section</x:v>
      </x:c>
      <x:c r="F91" s="26" t="str">
        <x:v>MANUAL</x:v>
      </x:c>
      <x:c r="G91" s="26" t="str">
        <x:v>VERIFIED</x:v>
      </x:c>
      <x:c r="H91" s="26" t="str">
        <x:v>EXACT</x:v>
      </x:c>
      <x:c r="I91" s="36" t="n">
        <x:v>46248</x:v>
      </x:c>
      <x:c r="J91" s="26" t="str">
        <x:v>ChatGPT/web research</x:v>
      </x:c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 t="str">
        <x:v>AST-000091</x:v>
      </x:c>
      <x:c r="B92" s="26" t="str">
        <x:v>EQUIPMENT_FACT</x:v>
      </x:c>
      <x:c r="C92" s="26" t="str">
        <x:v>EQP-000007</x:v>
      </x:c>
      <x:c r="D92" s="26" t="str">
        <x:v>SRC-000011</x:v>
      </x:c>
      <x:c r="E92" s="26" t="str">
        <x:v>equipment section</x:v>
      </x:c>
      <x:c r="F92" s="26" t="str">
        <x:v>MANUAL</x:v>
      </x:c>
      <x:c r="G92" s="26" t="str">
        <x:v>VERIFIED</x:v>
      </x:c>
      <x:c r="H92" s="26" t="str">
        <x:v>EXACT</x:v>
      </x:c>
      <x:c r="I92" s="36" t="n">
        <x:v>46248</x:v>
      </x:c>
      <x:c r="J92" s="26" t="str">
        <x:v>ChatGPT/web research</x:v>
      </x:c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 t="str">
        <x:v>AST-000092</x:v>
      </x:c>
      <x:c r="B93" s="26" t="str">
        <x:v>EQUIPMENT_FACT</x:v>
      </x:c>
      <x:c r="C93" s="26" t="str">
        <x:v>EQP-000008</x:v>
      </x:c>
      <x:c r="D93" s="26" t="str">
        <x:v>SRC-000011</x:v>
      </x:c>
      <x:c r="E93" s="26" t="str">
        <x:v>equipment section</x:v>
      </x:c>
      <x:c r="F93" s="26" t="str">
        <x:v>MANUAL</x:v>
      </x:c>
      <x:c r="G93" s="26" t="str">
        <x:v>UNVERIFIED</x:v>
      </x:c>
      <x:c r="H93" s="26" t="str">
        <x:v>UNCERTAIN</x:v>
      </x:c>
      <x:c r="I93" s="36"/>
      <x:c r="J93" s="26" t="str">
        <x:v>ChatGPT/web research</x:v>
      </x:c>
      <x:c r="K93" s="26" t="str">
        <x:v>Not explicitly resolved in this pass.</x:v>
      </x:c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 t="str">
        <x:v>AST-000093</x:v>
      </x:c>
      <x:c r="B94" s="26" t="str">
        <x:v>EQUIPMENT_FACT</x:v>
      </x:c>
      <x:c r="C94" s="26" t="str">
        <x:v>EQP-000009</x:v>
      </x:c>
      <x:c r="D94" s="26" t="str">
        <x:v>SRC-000011</x:v>
      </x:c>
      <x:c r="E94" s="26" t="str">
        <x:v>equipment section</x:v>
      </x:c>
      <x:c r="F94" s="26" t="str">
        <x:v>MANUAL</x:v>
      </x:c>
      <x:c r="G94" s="26" t="str">
        <x:v>UNVERIFIED</x:v>
      </x:c>
      <x:c r="H94" s="26" t="str">
        <x:v>UNCERTAIN</x:v>
      </x:c>
      <x:c r="I94" s="36"/>
      <x:c r="J94" s="26" t="str">
        <x:v>ChatGPT/web research</x:v>
      </x:c>
      <x:c r="K94" s="26" t="str">
        <x:v>Not explicitly resolved in this pass.</x:v>
      </x:c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 t="str">
        <x:v>AST-000094</x:v>
      </x:c>
      <x:c r="B95" s="26" t="str">
        <x:v>EQUIPMENT_FACT</x:v>
      </x:c>
      <x:c r="C95" s="26" t="str">
        <x:v>EQP-000010</x:v>
      </x:c>
      <x:c r="D95" s="26" t="str">
        <x:v>SRC-000011</x:v>
      </x:c>
      <x:c r="E95" s="26" t="str">
        <x:v>equipment section</x:v>
      </x:c>
      <x:c r="F95" s="26" t="str">
        <x:v>MANUAL</x:v>
      </x:c>
      <x:c r="G95" s="26" t="str">
        <x:v>UNVERIFIED</x:v>
      </x:c>
      <x:c r="H95" s="26" t="str">
        <x:v>UNCERTAIN</x:v>
      </x:c>
      <x:c r="I95" s="36"/>
      <x:c r="J95" s="26" t="str">
        <x:v>ChatGPT/web research</x:v>
      </x:c>
      <x:c r="K95" s="26" t="str">
        <x:v>Not explicitly resolved in this pass.</x:v>
      </x:c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 t="str">
        <x:v>AST-000095</x:v>
      </x:c>
      <x:c r="B96" s="26" t="str">
        <x:v>EQUIPMENT_FACT</x:v>
      </x:c>
      <x:c r="C96" s="26" t="str">
        <x:v>EQP-000011</x:v>
      </x:c>
      <x:c r="D96" s="26" t="str">
        <x:v>SRC-000011</x:v>
      </x:c>
      <x:c r="E96" s="26" t="str">
        <x:v>equipment section</x:v>
      </x:c>
      <x:c r="F96" s="26" t="str">
        <x:v>MANUAL</x:v>
      </x:c>
      <x:c r="G96" s="26" t="str">
        <x:v>UNVERIFIED</x:v>
      </x:c>
      <x:c r="H96" s="26" t="str">
        <x:v>UNCERTAIN</x:v>
      </x:c>
      <x:c r="I96" s="36"/>
      <x:c r="J96" s="26" t="str">
        <x:v>ChatGPT/web research</x:v>
      </x:c>
      <x:c r="K96" s="26" t="str">
        <x:v>Not explicitly resolved in this pass.</x:v>
      </x:c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 t="str">
        <x:v>AST-000096</x:v>
      </x:c>
      <x:c r="B97" s="26" t="str">
        <x:v>EQUIPMENT_FACT</x:v>
      </x:c>
      <x:c r="C97" s="26" t="str">
        <x:v>EQP-000012</x:v>
      </x:c>
      <x:c r="D97" s="26" t="str">
        <x:v>SRC-000011</x:v>
      </x:c>
      <x:c r="E97" s="26" t="str">
        <x:v>equipment section</x:v>
      </x:c>
      <x:c r="F97" s="26" t="str">
        <x:v>MANUAL</x:v>
      </x:c>
      <x:c r="G97" s="26" t="str">
        <x:v>UNVERIFIED</x:v>
      </x:c>
      <x:c r="H97" s="26" t="str">
        <x:v>UNCERTAIN</x:v>
      </x:c>
      <x:c r="I97" s="36"/>
      <x:c r="J97" s="26" t="str">
        <x:v>ChatGPT/web research</x:v>
      </x:c>
      <x:c r="K97" s="26" t="str">
        <x:v>Not explicitly resolved in this pass.</x:v>
      </x:c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 t="str">
        <x:v>AST-000097</x:v>
      </x:c>
      <x:c r="B98" s="26" t="str">
        <x:v>EQUIPMENT_FACT</x:v>
      </x:c>
      <x:c r="C98" s="26" t="str">
        <x:v>EQP-000013</x:v>
      </x:c>
      <x:c r="D98" s="26" t="str">
        <x:v>SRC-000012</x:v>
      </x:c>
      <x:c r="E98" s="26" t="str">
        <x:v>Easy equipment list</x:v>
      </x:c>
      <x:c r="F98" s="26" t="str">
        <x:v>MANUAL</x:v>
      </x:c>
      <x:c r="G98" s="26" t="str">
        <x:v>VERIFIED</x:v>
      </x:c>
      <x:c r="H98" s="26" t="str">
        <x:v>EXACT</x:v>
      </x:c>
      <x:c r="I98" s="36" t="n">
        <x:v>46248</x:v>
      </x:c>
      <x:c r="J98" s="26" t="str">
        <x:v>ChatGPT/web research</x:v>
      </x:c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 t="str">
        <x:v>AST-000098</x:v>
      </x:c>
      <x:c r="B99" s="26" t="str">
        <x:v>EQUIPMENT_FACT</x:v>
      </x:c>
      <x:c r="C99" s="26" t="str">
        <x:v>EQP-000014</x:v>
      </x:c>
      <x:c r="D99" s="26" t="str">
        <x:v>SRC-000012</x:v>
      </x:c>
      <x:c r="E99" s="26" t="str">
        <x:v>Easy equipment list</x:v>
      </x:c>
      <x:c r="F99" s="26" t="str">
        <x:v>MANUAL</x:v>
      </x:c>
      <x:c r="G99" s="26" t="str">
        <x:v>VERIFIED</x:v>
      </x:c>
      <x:c r="H99" s="26" t="str">
        <x:v>EXACT</x:v>
      </x:c>
      <x:c r="I99" s="36" t="n">
        <x:v>46248</x:v>
      </x:c>
      <x:c r="J99" s="26" t="str">
        <x:v>ChatGPT/web research</x:v>
      </x:c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 t="str">
        <x:v>AST-000099</x:v>
      </x:c>
      <x:c r="B100" s="26" t="str">
        <x:v>EQUIPMENT_FACT</x:v>
      </x:c>
      <x:c r="C100" s="26" t="str">
        <x:v>EQP-000015</x:v>
      </x:c>
      <x:c r="D100" s="26" t="str">
        <x:v>SRC-000012</x:v>
      </x:c>
      <x:c r="E100" s="26" t="str">
        <x:v>Easy equipment list</x:v>
      </x:c>
      <x:c r="F100" s="26" t="str">
        <x:v>MANUAL</x:v>
      </x:c>
      <x:c r="G100" s="26" t="str">
        <x:v>VERIFIED</x:v>
      </x:c>
      <x:c r="H100" s="26" t="str">
        <x:v>EXACT</x:v>
      </x:c>
      <x:c r="I100" s="36" t="n">
        <x:v>46248</x:v>
      </x:c>
      <x:c r="J100" s="26" t="str">
        <x:v>ChatGPT/web research</x:v>
      </x:c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 t="str">
        <x:v>AST-000100</x:v>
      </x:c>
      <x:c r="B101" s="26" t="str">
        <x:v>EQUIPMENT_FACT</x:v>
      </x:c>
      <x:c r="C101" s="26" t="str">
        <x:v>EQP-000016</x:v>
      </x:c>
      <x:c r="D101" s="26" t="str">
        <x:v>SRC-000012</x:v>
      </x:c>
      <x:c r="E101" s="26" t="str">
        <x:v>Easy equipment list</x:v>
      </x:c>
      <x:c r="F101" s="26" t="str">
        <x:v>MANUAL</x:v>
      </x:c>
      <x:c r="G101" s="26" t="str">
        <x:v>VERIFIED</x:v>
      </x:c>
      <x:c r="H101" s="26" t="str">
        <x:v>EXACT</x:v>
      </x:c>
      <x:c r="I101" s="36" t="n">
        <x:v>46248</x:v>
      </x:c>
      <x:c r="J101" s="26" t="str">
        <x:v>ChatGPT/web research</x:v>
      </x:c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 t="str">
        <x:v>AST-000101</x:v>
      </x:c>
      <x:c r="B102" s="26" t="str">
        <x:v>EQUIPMENT_FACT</x:v>
      </x:c>
      <x:c r="C102" s="26" t="str">
        <x:v>EQP-000017</x:v>
      </x:c>
      <x:c r="D102" s="26" t="str">
        <x:v>SRC-000012</x:v>
      </x:c>
      <x:c r="E102" s="26" t="str">
        <x:v>version lists</x:v>
      </x:c>
      <x:c r="F102" s="26" t="str">
        <x:v>MANUAL</x:v>
      </x:c>
      <x:c r="G102" s="26" t="str">
        <x:v>UNVERIFIED</x:v>
      </x:c>
      <x:c r="H102" s="26" t="str">
        <x:v>UNCERTAIN</x:v>
      </x:c>
      <x:c r="I102" s="36"/>
      <x:c r="J102" s="26" t="str">
        <x:v>ChatGPT/web research</x:v>
      </x:c>
      <x:c r="K102" s="26" t="str">
        <x:v>Unlisted on Easy is not proof of NOT_AVAILABLE.</x:v>
      </x:c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 t="str">
        <x:v>AST-000102</x:v>
      </x:c>
      <x:c r="B103" s="26" t="str">
        <x:v>EQUIPMENT_FACT</x:v>
      </x:c>
      <x:c r="C103" s="26" t="str">
        <x:v>EQP-000018</x:v>
      </x:c>
      <x:c r="D103" s="26" t="str">
        <x:v>SRC-000012</x:v>
      </x:c>
      <x:c r="E103" s="26" t="str">
        <x:v>version lists</x:v>
      </x:c>
      <x:c r="F103" s="26" t="str">
        <x:v>MANUAL</x:v>
      </x:c>
      <x:c r="G103" s="26" t="str">
        <x:v>UNVERIFIED</x:v>
      </x:c>
      <x:c r="H103" s="26" t="str">
        <x:v>UNCERTAIN</x:v>
      </x:c>
      <x:c r="I103" s="36"/>
      <x:c r="J103" s="26" t="str">
        <x:v>ChatGPT/web research</x:v>
      </x:c>
      <x:c r="K103" s="26" t="str">
        <x:v>Unlisted on Easy is not proof of NOT_AVAILABLE.</x:v>
      </x:c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 t="str">
        <x:v>AST-000103</x:v>
      </x:c>
      <x:c r="B104" s="26" t="str">
        <x:v>EQUIPMENT_FACT</x:v>
      </x:c>
      <x:c r="C104" s="26" t="str">
        <x:v>EQP-000019</x:v>
      </x:c>
      <x:c r="D104" s="26" t="str">
        <x:v>SRC-000012</x:v>
      </x:c>
      <x:c r="E104" s="26" t="str">
        <x:v>version lists</x:v>
      </x:c>
      <x:c r="F104" s="26" t="str">
        <x:v>MANUAL</x:v>
      </x:c>
      <x:c r="G104" s="26" t="str">
        <x:v>UNVERIFIED</x:v>
      </x:c>
      <x:c r="H104" s="26" t="str">
        <x:v>UNCERTAIN</x:v>
      </x:c>
      <x:c r="I104" s="36"/>
      <x:c r="J104" s="26" t="str">
        <x:v>ChatGPT/web research</x:v>
      </x:c>
      <x:c r="K104" s="26" t="str">
        <x:v>Unlisted on Easy is not proof of NOT_AVAILABLE.</x:v>
      </x:c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 t="str">
        <x:v>AST-000104</x:v>
      </x:c>
      <x:c r="B105" s="26" t="str">
        <x:v>EQUIPMENT_FACT</x:v>
      </x:c>
      <x:c r="C105" s="26" t="str">
        <x:v>EQP-000020</x:v>
      </x:c>
      <x:c r="D105" s="26" t="str">
        <x:v>SRC-000012</x:v>
      </x:c>
      <x:c r="E105" s="26" t="str">
        <x:v>version lists</x:v>
      </x:c>
      <x:c r="F105" s="26" t="str">
        <x:v>MANUAL</x:v>
      </x:c>
      <x:c r="G105" s="26" t="str">
        <x:v>UNVERIFIED</x:v>
      </x:c>
      <x:c r="H105" s="26" t="str">
        <x:v>UNCERTAIN</x:v>
      </x:c>
      <x:c r="I105" s="36"/>
      <x:c r="J105" s="26" t="str">
        <x:v>ChatGPT/web research</x:v>
      </x:c>
      <x:c r="K105" s="26" t="str">
        <x:v>Unlisted on Easy is not proof of NOT_AVAILABLE.</x:v>
      </x:c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 t="str">
        <x:v>AST-000105</x:v>
      </x:c>
      <x:c r="B106" s="26" t="str">
        <x:v>EQUIPMENT_FACT</x:v>
      </x:c>
      <x:c r="C106" s="26" t="str">
        <x:v>EQP-000021</x:v>
      </x:c>
      <x:c r="D106" s="26" t="str">
        <x:v>SRC-000012</x:v>
      </x:c>
      <x:c r="E106" s="26" t="str">
        <x:v>version lists</x:v>
      </x:c>
      <x:c r="F106" s="26" t="str">
        <x:v>MANUAL</x:v>
      </x:c>
      <x:c r="G106" s="26" t="str">
        <x:v>UNVERIFIED</x:v>
      </x:c>
      <x:c r="H106" s="26" t="str">
        <x:v>UNCERTAIN</x:v>
      </x:c>
      <x:c r="I106" s="36"/>
      <x:c r="J106" s="26" t="str">
        <x:v>ChatGPT/web research</x:v>
      </x:c>
      <x:c r="K106" s="26" t="str">
        <x:v>Unlisted on Easy is not proof of NOT_AVAILABLE.</x:v>
      </x:c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 t="str">
        <x:v>AST-000106</x:v>
      </x:c>
      <x:c r="B107" s="26" t="str">
        <x:v>EQUIPMENT_FACT</x:v>
      </x:c>
      <x:c r="C107" s="26" t="str">
        <x:v>EQP-000022</x:v>
      </x:c>
      <x:c r="D107" s="26" t="str">
        <x:v>SRC-000013</x:v>
      </x:c>
      <x:c r="E107" s="26" t="str">
        <x:v>equipment p.3</x:v>
      </x:c>
      <x:c r="F107" s="26" t="str">
        <x:v>MANUAL</x:v>
      </x:c>
      <x:c r="G107" s="26" t="str">
        <x:v>VERIFIED</x:v>
      </x:c>
      <x:c r="H107" s="26" t="str">
        <x:v>EXACT</x:v>
      </x:c>
      <x:c r="I107" s="36" t="n">
        <x:v>46248</x:v>
      </x:c>
      <x:c r="J107" s="26" t="str">
        <x:v>ChatGPT/web research</x:v>
      </x:c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 t="str">
        <x:v>AST-000107</x:v>
      </x:c>
      <x:c r="B108" s="26" t="str">
        <x:v>EQUIPMENT_FACT</x:v>
      </x:c>
      <x:c r="C108" s="26" t="str">
        <x:v>EQP-000023</x:v>
      </x:c>
      <x:c r="D108" s="26" t="str">
        <x:v>SRC-000013</x:v>
      </x:c>
      <x:c r="E108" s="26" t="str">
        <x:v>equipment p.3</x:v>
      </x:c>
      <x:c r="F108" s="26" t="str">
        <x:v>MANUAL</x:v>
      </x:c>
      <x:c r="G108" s="26" t="str">
        <x:v>VERIFIED</x:v>
      </x:c>
      <x:c r="H108" s="26" t="str">
        <x:v>EXACT</x:v>
      </x:c>
      <x:c r="I108" s="36" t="n">
        <x:v>46248</x:v>
      </x:c>
      <x:c r="J108" s="26" t="str">
        <x:v>ChatGPT/web research</x:v>
      </x:c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 t="str">
        <x:v>AST-000108</x:v>
      </x:c>
      <x:c r="B109" s="26" t="str">
        <x:v>EQUIPMENT_FACT</x:v>
      </x:c>
      <x:c r="C109" s="26" t="str">
        <x:v>EQP-000024</x:v>
      </x:c>
      <x:c r="D109" s="26" t="str">
        <x:v>SRC-000013</x:v>
      </x:c>
      <x:c r="E109" s="26" t="str">
        <x:v>equipment p.3</x:v>
      </x:c>
      <x:c r="F109" s="26" t="str">
        <x:v>MANUAL</x:v>
      </x:c>
      <x:c r="G109" s="26" t="str">
        <x:v>VERIFIED</x:v>
      </x:c>
      <x:c r="H109" s="26" t="str">
        <x:v>EXACT</x:v>
      </x:c>
      <x:c r="I109" s="36" t="n">
        <x:v>46248</x:v>
      </x:c>
      <x:c r="J109" s="26" t="str">
        <x:v>ChatGPT/web research</x:v>
      </x:c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 t="str">
        <x:v>AST-000109</x:v>
      </x:c>
      <x:c r="B110" s="26" t="str">
        <x:v>EQUIPMENT_FACT</x:v>
      </x:c>
      <x:c r="C110" s="26" t="str">
        <x:v>EQP-000025</x:v>
      </x:c>
      <x:c r="D110" s="26" t="str">
        <x:v>SRC-000013</x:v>
      </x:c>
      <x:c r="E110" s="26" t="str">
        <x:v>P0 page subset</x:v>
      </x:c>
      <x:c r="F110" s="26" t="str">
        <x:v>MANUAL</x:v>
      </x:c>
      <x:c r="G110" s="26" t="str">
        <x:v>UNVERIFIED</x:v>
      </x:c>
      <x:c r="H110" s="26" t="str">
        <x:v>UNCERTAIN</x:v>
      </x:c>
      <x:c r="I110" s="36"/>
      <x:c r="J110" s="26" t="str">
        <x:v>ChatGPT/web research</x:v>
      </x:c>
      <x:c r="K110" s="26" t="str">
        <x:v>Not resolved in this pass.</x:v>
      </x:c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 t="str">
        <x:v>AST-000110</x:v>
      </x:c>
      <x:c r="B111" s="26" t="str">
        <x:v>EQUIPMENT_FACT</x:v>
      </x:c>
      <x:c r="C111" s="26" t="str">
        <x:v>EQP-000026</x:v>
      </x:c>
      <x:c r="D111" s="26" t="str">
        <x:v>SRC-000013</x:v>
      </x:c>
      <x:c r="E111" s="26" t="str">
        <x:v>P0 page subset</x:v>
      </x:c>
      <x:c r="F111" s="26" t="str">
        <x:v>MANUAL</x:v>
      </x:c>
      <x:c r="G111" s="26" t="str">
        <x:v>UNVERIFIED</x:v>
      </x:c>
      <x:c r="H111" s="26" t="str">
        <x:v>UNCERTAIN</x:v>
      </x:c>
      <x:c r="I111" s="36"/>
      <x:c r="J111" s="26" t="str">
        <x:v>ChatGPT/web research</x:v>
      </x:c>
      <x:c r="K111" s="26" t="str">
        <x:v>Not resolved in this pass.</x:v>
      </x:c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 t="str">
        <x:v>AST-000111</x:v>
      </x:c>
      <x:c r="B112" s="26" t="str">
        <x:v>EQUIPMENT_FACT</x:v>
      </x:c>
      <x:c r="C112" s="26" t="str">
        <x:v>EQP-000027</x:v>
      </x:c>
      <x:c r="D112" s="26" t="str">
        <x:v>SRC-000013</x:v>
      </x:c>
      <x:c r="E112" s="26" t="str">
        <x:v>P0 page subset</x:v>
      </x:c>
      <x:c r="F112" s="26" t="str">
        <x:v>MANUAL</x:v>
      </x:c>
      <x:c r="G112" s="26" t="str">
        <x:v>UNVERIFIED</x:v>
      </x:c>
      <x:c r="H112" s="26" t="str">
        <x:v>UNCERTAIN</x:v>
      </x:c>
      <x:c r="I112" s="36"/>
      <x:c r="J112" s="26" t="str">
        <x:v>ChatGPT/web research</x:v>
      </x:c>
      <x:c r="K112" s="26" t="str">
        <x:v>Not resolved in this pass.</x:v>
      </x:c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 t="str">
        <x:v>AST-000112</x:v>
      </x:c>
      <x:c r="B113" s="26" t="str">
        <x:v>EQUIPMENT_FACT</x:v>
      </x:c>
      <x:c r="C113" s="26" t="str">
        <x:v>EQP-000028</x:v>
      </x:c>
      <x:c r="D113" s="26" t="str">
        <x:v>SRC-000013</x:v>
      </x:c>
      <x:c r="E113" s="26" t="str">
        <x:v>P0 page subset</x:v>
      </x:c>
      <x:c r="F113" s="26" t="str">
        <x:v>MANUAL</x:v>
      </x:c>
      <x:c r="G113" s="26" t="str">
        <x:v>UNVERIFIED</x:v>
      </x:c>
      <x:c r="H113" s="26" t="str">
        <x:v>UNCERTAIN</x:v>
      </x:c>
      <x:c r="I113" s="36"/>
      <x:c r="J113" s="26" t="str">
        <x:v>ChatGPT/web research</x:v>
      </x:c>
      <x:c r="K113" s="26" t="str">
        <x:v>Not resolved in this pass.</x:v>
      </x:c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 t="str">
        <x:v>AST-000113</x:v>
      </x:c>
      <x:c r="B114" s="26" t="str">
        <x:v>EQUIPMENT_FACT</x:v>
      </x:c>
      <x:c r="C114" s="26" t="str">
        <x:v>EQP-000029</x:v>
      </x:c>
      <x:c r="D114" s="26" t="str">
        <x:v>SRC-000013</x:v>
      </x:c>
      <x:c r="E114" s="26" t="str">
        <x:v>P0 page subset</x:v>
      </x:c>
      <x:c r="F114" s="26" t="str">
        <x:v>MANUAL</x:v>
      </x:c>
      <x:c r="G114" s="26" t="str">
        <x:v>UNVERIFIED</x:v>
      </x:c>
      <x:c r="H114" s="26" t="str">
        <x:v>UNCERTAIN</x:v>
      </x:c>
      <x:c r="I114" s="36"/>
      <x:c r="J114" s="26" t="str">
        <x:v>ChatGPT/web research</x:v>
      </x:c>
      <x:c r="K114" s="26" t="str">
        <x:v>Not resolved in this pass.</x:v>
      </x:c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 t="str">
        <x:v>AST-000114</x:v>
      </x:c>
      <x:c r="B115" s="26" t="str">
        <x:v>EQUIPMENT_FACT</x:v>
      </x:c>
      <x:c r="C115" s="26" t="str">
        <x:v>EQP-000030</x:v>
      </x:c>
      <x:c r="D115" s="26" t="str">
        <x:v>SRC-000013</x:v>
      </x:c>
      <x:c r="E115" s="26" t="str">
        <x:v>P0 page subset</x:v>
      </x:c>
      <x:c r="F115" s="26" t="str">
        <x:v>MANUAL</x:v>
      </x:c>
      <x:c r="G115" s="26" t="str">
        <x:v>UNVERIFIED</x:v>
      </x:c>
      <x:c r="H115" s="26" t="str">
        <x:v>UNCERTAIN</x:v>
      </x:c>
      <x:c r="I115" s="36"/>
      <x:c r="J115" s="26" t="str">
        <x:v>ChatGPT/web research</x:v>
      </x:c>
      <x:c r="K115" s="26" t="str">
        <x:v>Not resolved in this pass.</x:v>
      </x:c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 t="str">
        <x:v>AST-000115</x:v>
      </x:c>
      <x:c r="B116" s="26" t="str">
        <x:v>EQUIPMENT_FACT</x:v>
      </x:c>
      <x:c r="C116" s="26" t="str">
        <x:v>EQP-000031</x:v>
      </x:c>
      <x:c r="D116" s="26" t="str">
        <x:v>SRC-000004</x:v>
      </x:c>
      <x:c r="E116" s="26" t="str">
        <x:v>GL Elegance column</x:v>
      </x:c>
      <x:c r="F116" s="26" t="str">
        <x:v>MANUAL</x:v>
      </x:c>
      <x:c r="G116" s="26" t="str">
        <x:v>VERIFIED</x:v>
      </x:c>
      <x:c r="H116" s="26" t="str">
        <x:v>EXACT</x:v>
      </x:c>
      <x:c r="I116" s="36" t="n">
        <x:v>46248</x:v>
      </x:c>
      <x:c r="J116" s="26" t="str">
        <x:v>ChatGPT/web research</x:v>
      </x:c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 t="str">
        <x:v>AST-000116</x:v>
      </x:c>
      <x:c r="B117" s="26" t="str">
        <x:v>EQUIPMENT_FACT</x:v>
      </x:c>
      <x:c r="C117" s="26" t="str">
        <x:v>EQP-000032</x:v>
      </x:c>
      <x:c r="D117" s="26" t="str">
        <x:v>SRC-000004</x:v>
      </x:c>
      <x:c r="E117" s="26" t="str">
        <x:v>GL Elegance column</x:v>
      </x:c>
      <x:c r="F117" s="26" t="str">
        <x:v>MANUAL</x:v>
      </x:c>
      <x:c r="G117" s="26" t="str">
        <x:v>VERIFIED</x:v>
      </x:c>
      <x:c r="H117" s="26" t="str">
        <x:v>EXACT</x:v>
      </x:c>
      <x:c r="I117" s="36" t="n">
        <x:v>46248</x:v>
      </x:c>
      <x:c r="J117" s="26" t="str">
        <x:v>ChatGPT/web research</x:v>
      </x:c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 t="str">
        <x:v>AST-000117</x:v>
      </x:c>
      <x:c r="B118" s="26" t="str">
        <x:v>EQUIPMENT_FACT</x:v>
      </x:c>
      <x:c r="C118" s="26" t="str">
        <x:v>EQP-000033</x:v>
      </x:c>
      <x:c r="D118" s="26" t="str">
        <x:v>SRC-000004</x:v>
      </x:c>
      <x:c r="E118" s="26" t="str">
        <x:v>GL Elegance column</x:v>
      </x:c>
      <x:c r="F118" s="26" t="str">
        <x:v>MANUAL</x:v>
      </x:c>
      <x:c r="G118" s="26" t="str">
        <x:v>VERIFIED</x:v>
      </x:c>
      <x:c r="H118" s="26" t="str">
        <x:v>EXACT</x:v>
      </x:c>
      <x:c r="I118" s="36" t="n">
        <x:v>46248</x:v>
      </x:c>
      <x:c r="J118" s="26" t="str">
        <x:v>ChatGPT/web research</x:v>
      </x:c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 t="str">
        <x:v>AST-000118</x:v>
      </x:c>
      <x:c r="B119" s="26" t="str">
        <x:v>EQUIPMENT_FACT</x:v>
      </x:c>
      <x:c r="C119" s="26" t="str">
        <x:v>EQP-000034</x:v>
      </x:c>
      <x:c r="D119" s="26" t="str">
        <x:v>SRC-000004</x:v>
      </x:c>
      <x:c r="E119" s="26" t="str">
        <x:v>GL Elegance column</x:v>
      </x:c>
      <x:c r="F119" s="26" t="str">
        <x:v>MANUAL</x:v>
      </x:c>
      <x:c r="G119" s="26" t="str">
        <x:v>VERIFIED</x:v>
      </x:c>
      <x:c r="H119" s="26" t="str">
        <x:v>EXACT</x:v>
      </x:c>
      <x:c r="I119" s="36" t="n">
        <x:v>46248</x:v>
      </x:c>
      <x:c r="J119" s="26" t="str">
        <x:v>ChatGPT/web research</x:v>
      </x:c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 t="str">
        <x:v>AST-000119</x:v>
      </x:c>
      <x:c r="B120" s="26" t="str">
        <x:v>EQUIPMENT_FACT</x:v>
      </x:c>
      <x:c r="C120" s="26" t="str">
        <x:v>EQP-000035</x:v>
      </x:c>
      <x:c r="D120" s="26" t="str">
        <x:v>SRC-000004</x:v>
      </x:c>
      <x:c r="E120" s="26" t="str">
        <x:v>GL Elegance column</x:v>
      </x:c>
      <x:c r="F120" s="26" t="str">
        <x:v>MANUAL</x:v>
      </x:c>
      <x:c r="G120" s="26" t="str">
        <x:v>VERIFIED</x:v>
      </x:c>
      <x:c r="H120" s="26" t="str">
        <x:v>EXACT</x:v>
      </x:c>
      <x:c r="I120" s="36" t="n">
        <x:v>46248</x:v>
      </x:c>
      <x:c r="J120" s="26" t="str">
        <x:v>ChatGPT/web research</x:v>
      </x:c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 t="str">
        <x:v>AST-000120</x:v>
      </x:c>
      <x:c r="B121" s="26" t="str">
        <x:v>EQUIPMENT_FACT</x:v>
      </x:c>
      <x:c r="C121" s="26" t="str">
        <x:v>EQP-000036</x:v>
      </x:c>
      <x:c r="D121" s="26" t="str">
        <x:v>SRC-000004</x:v>
      </x:c>
      <x:c r="E121" s="26" t="str">
        <x:v>GL Elegance column</x:v>
      </x:c>
      <x:c r="F121" s="26" t="str">
        <x:v>MANUAL</x:v>
      </x:c>
      <x:c r="G121" s="26" t="str">
        <x:v>VERIFIED</x:v>
      </x:c>
      <x:c r="H121" s="26" t="str">
        <x:v>EXACT</x:v>
      </x:c>
      <x:c r="I121" s="36" t="n">
        <x:v>46248</x:v>
      </x:c>
      <x:c r="J121" s="26" t="str">
        <x:v>ChatGPT/web research</x:v>
      </x:c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 t="str">
        <x:v>AST-000121</x:v>
      </x:c>
      <x:c r="B122" s="26" t="str">
        <x:v>EQUIPMENT_FACT</x:v>
      </x:c>
      <x:c r="C122" s="26" t="str">
        <x:v>EQP-000037</x:v>
      </x:c>
      <x:c r="D122" s="26" t="str">
        <x:v>SRC-000004</x:v>
      </x:c>
      <x:c r="E122" s="26" t="str">
        <x:v>GL Elegance column</x:v>
      </x:c>
      <x:c r="F122" s="26" t="str">
        <x:v>MANUAL</x:v>
      </x:c>
      <x:c r="G122" s="26" t="str">
        <x:v>VERIFIED</x:v>
      </x:c>
      <x:c r="H122" s="26" t="str">
        <x:v>EXACT</x:v>
      </x:c>
      <x:c r="I122" s="36" t="n">
        <x:v>46248</x:v>
      </x:c>
      <x:c r="J122" s="26" t="str">
        <x:v>ChatGPT/web research</x:v>
      </x:c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 t="str">
        <x:v>AST-000122</x:v>
      </x:c>
      <x:c r="B123" s="26" t="str">
        <x:v>EQUIPMENT_FACT</x:v>
      </x:c>
      <x:c r="C123" s="26" t="str">
        <x:v>EQP-000038</x:v>
      </x:c>
      <x:c r="D123" s="26" t="str">
        <x:v>SRC-000004</x:v>
      </x:c>
      <x:c r="E123" s="26" t="str">
        <x:v>GL Elegance column</x:v>
      </x:c>
      <x:c r="F123" s="26" t="str">
        <x:v>MANUAL</x:v>
      </x:c>
      <x:c r="G123" s="26" t="str">
        <x:v>VERIFIED</x:v>
      </x:c>
      <x:c r="H123" s="26" t="str">
        <x:v>EXACT</x:v>
      </x:c>
      <x:c r="I123" s="36" t="n">
        <x:v>46248</x:v>
      </x:c>
      <x:c r="J123" s="26" t="str">
        <x:v>ChatGPT/web research</x:v>
      </x:c>
      <x:c r="K123" s="26" t="str">
        <x:v>Official table shows rear-only sensors.</x:v>
      </x:c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 t="str">
        <x:v>AST-000123</x:v>
      </x:c>
      <x:c r="B124" s="26" t="str">
        <x:v>EQUIPMENT_FACT</x:v>
      </x:c>
      <x:c r="C124" s="26" t="str">
        <x:v>EQP-000039</x:v>
      </x:c>
      <x:c r="D124" s="26" t="str">
        <x:v>SRC-000004</x:v>
      </x:c>
      <x:c r="E124" s="26" t="str">
        <x:v>GL Elegance column</x:v>
      </x:c>
      <x:c r="F124" s="26" t="str">
        <x:v>MANUAL</x:v>
      </x:c>
      <x:c r="G124" s="26" t="str">
        <x:v>VERIFIED</x:v>
      </x:c>
      <x:c r="H124" s="26" t="str">
        <x:v>EXACT</x:v>
      </x:c>
      <x:c r="I124" s="36" t="n">
        <x:v>46248</x:v>
      </x:c>
      <x:c r="J124" s="26" t="str">
        <x:v>ChatGPT/web research</x:v>
      </x:c>
      <x:c r="K124" s="26" t="str">
        <x:v>Official table marks heated seats absent.</x:v>
      </x:c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 t="str">
        <x:v>AST-000124</x:v>
      </x:c>
      <x:c r="B125" s="26" t="str">
        <x:v>EQUIPMENT_FACT</x:v>
      </x:c>
      <x:c r="C125" s="26" t="str">
        <x:v>EQP-000040</x:v>
      </x:c>
      <x:c r="D125" s="26" t="str">
        <x:v>SRC-000004</x:v>
      </x:c>
      <x:c r="E125" s="26" t="str">
        <x:v>equipment table</x:v>
      </x:c>
      <x:c r="F125" s="26" t="str">
        <x:v>MANUAL</x:v>
      </x:c>
      <x:c r="G125" s="26" t="str">
        <x:v>UNVERIFIED</x:v>
      </x:c>
      <x:c r="H125" s="26" t="str">
        <x:v>UNCERTAIN</x:v>
      </x:c>
      <x:c r="I125" s="36"/>
      <x:c r="J125" s="26" t="str">
        <x:v>ChatGPT/web research</x:v>
      </x:c>
      <x:c r="K125" s="26" t="str">
        <x:v>Terminology/applicability unresolved.</x:v>
      </x:c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 t="str">
        <x:v>AST-000125</x:v>
      </x:c>
      <x:c r="B126" s="26" t="str">
        <x:v>EQUIPMENT_FACT</x:v>
      </x:c>
      <x:c r="C126" s="26" t="str">
        <x:v>EQP-000041</x:v>
      </x:c>
      <x:c r="D126" s="26" t="str">
        <x:v>SRC-000004</x:v>
      </x:c>
      <x:c r="E126" s="26" t="str">
        <x:v>equipment table</x:v>
      </x:c>
      <x:c r="F126" s="26" t="str">
        <x:v>MANUAL</x:v>
      </x:c>
      <x:c r="G126" s="26" t="str">
        <x:v>UNVERIFIED</x:v>
      </x:c>
      <x:c r="H126" s="26" t="str">
        <x:v>UNCERTAIN</x:v>
      </x:c>
      <x:c r="I126" s="36"/>
      <x:c r="J126" s="26" t="str">
        <x:v>ChatGPT/web research</x:v>
      </x:c>
      <x:c r="K126" s="26" t="str">
        <x:v>Terminology/applicability unresolved.</x:v>
      </x:c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 t="str">
        <x:v>AST-000126</x:v>
      </x:c>
      <x:c r="B127" s="26" t="str">
        <x:v>EQUIPMENT_FACT</x:v>
      </x:c>
      <x:c r="C127" s="26" t="str">
        <x:v>EQP-000042</x:v>
      </x:c>
      <x:c r="D127" s="26" t="str">
        <x:v>SRC-000004</x:v>
      </x:c>
      <x:c r="E127" s="26" t="str">
        <x:v>equipment table</x:v>
      </x:c>
      <x:c r="F127" s="26" t="str">
        <x:v>MANUAL</x:v>
      </x:c>
      <x:c r="G127" s="26" t="str">
        <x:v>UNVERIFIED</x:v>
      </x:c>
      <x:c r="H127" s="26" t="str">
        <x:v>UNCERTAIN</x:v>
      </x:c>
      <x:c r="I127" s="36"/>
      <x:c r="J127" s="26" t="str">
        <x:v>ChatGPT/web research</x:v>
      </x:c>
      <x:c r="K127" s="26" t="str">
        <x:v>Terminology/applicability unresolved.</x:v>
      </x:c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 t="str">
        <x:v>AST-000127</x:v>
      </x:c>
      <x:c r="B128" s="26" t="str">
        <x:v>EQUIPMENT_FACT</x:v>
      </x:c>
      <x:c r="C128" s="26" t="str">
        <x:v>EQP-000043</x:v>
      </x:c>
      <x:c r="D128" s="26" t="str">
        <x:v>SRC-000004</x:v>
      </x:c>
      <x:c r="E128" s="26" t="str">
        <x:v>equipment table</x:v>
      </x:c>
      <x:c r="F128" s="26" t="str">
        <x:v>MANUAL</x:v>
      </x:c>
      <x:c r="G128" s="26" t="str">
        <x:v>UNVERIFIED</x:v>
      </x:c>
      <x:c r="H128" s="26" t="str">
        <x:v>UNCERTAIN</x:v>
      </x:c>
      <x:c r="I128" s="36"/>
      <x:c r="J128" s="26" t="str">
        <x:v>ChatGPT/web research</x:v>
      </x:c>
      <x:c r="K128" s="26" t="str">
        <x:v>Terminology/applicability unresolved.</x:v>
      </x:c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 t="str">
        <x:v>AST-000128</x:v>
      </x:c>
      <x:c r="B129" s="26" t="str">
        <x:v>EQUIPMENT_FACT</x:v>
      </x:c>
      <x:c r="C129" s="26" t="str">
        <x:v>EQP-000044</x:v>
      </x:c>
      <x:c r="D129" s="26" t="str">
        <x:v>SRC-000004</x:v>
      </x:c>
      <x:c r="E129" s="26" t="str">
        <x:v>equipment table</x:v>
      </x:c>
      <x:c r="F129" s="26" t="str">
        <x:v>MANUAL</x:v>
      </x:c>
      <x:c r="G129" s="26" t="str">
        <x:v>UNVERIFIED</x:v>
      </x:c>
      <x:c r="H129" s="26" t="str">
        <x:v>UNCERTAIN</x:v>
      </x:c>
      <x:c r="I129" s="36"/>
      <x:c r="J129" s="26" t="str">
        <x:v>ChatGPT/web research</x:v>
      </x:c>
      <x:c r="K129" s="26" t="str">
        <x:v>Terminology/applicability unresolved.</x:v>
      </x:c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 t="str">
        <x:v>AST-000129</x:v>
      </x:c>
      <x:c r="B130" s="26" t="str">
        <x:v>EQUIPMENT_FACT</x:v>
      </x:c>
      <x:c r="C130" s="26" t="str">
        <x:v>EQP-000045</x:v>
      </x:c>
      <x:c r="D130" s="26" t="str">
        <x:v>SRC-000015</x:v>
      </x:c>
      <x:c r="E130" s="26" t="str">
        <x:v>equipment p.1–3</x:v>
      </x:c>
      <x:c r="F130" s="26" t="str">
        <x:v>MANUAL</x:v>
      </x:c>
      <x:c r="G130" s="26" t="str">
        <x:v>VERIFIED</x:v>
      </x:c>
      <x:c r="H130" s="26" t="str">
        <x:v>EXACT</x:v>
      </x:c>
      <x:c r="I130" s="36" t="n">
        <x:v>46248</x:v>
      </x:c>
      <x:c r="J130" s="26" t="str">
        <x:v>ChatGPT/web research</x:v>
      </x:c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 t="str">
        <x:v>AST-000130</x:v>
      </x:c>
      <x:c r="B131" s="26" t="str">
        <x:v>EQUIPMENT_FACT</x:v>
      </x:c>
      <x:c r="C131" s="26" t="str">
        <x:v>EQP-000046</x:v>
      </x:c>
      <x:c r="D131" s="26" t="str">
        <x:v>SRC-000015</x:v>
      </x:c>
      <x:c r="E131" s="26" t="str">
        <x:v>equipment p.1–3</x:v>
      </x:c>
      <x:c r="F131" s="26" t="str">
        <x:v>MANUAL</x:v>
      </x:c>
      <x:c r="G131" s="26" t="str">
        <x:v>VERIFIED</x:v>
      </x:c>
      <x:c r="H131" s="26" t="str">
        <x:v>EXACT</x:v>
      </x:c>
      <x:c r="I131" s="36" t="n">
        <x:v>46248</x:v>
      </x:c>
      <x:c r="J131" s="26" t="str">
        <x:v>ChatGPT/web research</x:v>
      </x:c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 t="str">
        <x:v>AST-000131</x:v>
      </x:c>
      <x:c r="B132" s="26" t="str">
        <x:v>EQUIPMENT_FACT</x:v>
      </x:c>
      <x:c r="C132" s="26" t="str">
        <x:v>EQP-000047</x:v>
      </x:c>
      <x:c r="D132" s="26" t="str">
        <x:v>SRC-000015</x:v>
      </x:c>
      <x:c r="E132" s="26" t="str">
        <x:v>equipment p.1–3</x:v>
      </x:c>
      <x:c r="F132" s="26" t="str">
        <x:v>MANUAL</x:v>
      </x:c>
      <x:c r="G132" s="26" t="str">
        <x:v>VERIFIED</x:v>
      </x:c>
      <x:c r="H132" s="26" t="str">
        <x:v>EXACT</x:v>
      </x:c>
      <x:c r="I132" s="36" t="n">
        <x:v>46248</x:v>
      </x:c>
      <x:c r="J132" s="26" t="str">
        <x:v>ChatGPT/web research</x:v>
      </x:c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 t="str">
        <x:v>AST-000132</x:v>
      </x:c>
      <x:c r="B133" s="26" t="str">
        <x:v>EQUIPMENT_FACT</x:v>
      </x:c>
      <x:c r="C133" s="26" t="str">
        <x:v>EQP-000048</x:v>
      </x:c>
      <x:c r="D133" s="26" t="str">
        <x:v>SRC-000015</x:v>
      </x:c>
      <x:c r="E133" s="26" t="str">
        <x:v>equipment p.1–3</x:v>
      </x:c>
      <x:c r="F133" s="26" t="str">
        <x:v>MANUAL</x:v>
      </x:c>
      <x:c r="G133" s="26" t="str">
        <x:v>VERIFIED</x:v>
      </x:c>
      <x:c r="H133" s="26" t="str">
        <x:v>EXACT</x:v>
      </x:c>
      <x:c r="I133" s="36" t="n">
        <x:v>46248</x:v>
      </x:c>
      <x:c r="J133" s="26" t="str">
        <x:v>ChatGPT/web research</x:v>
      </x:c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 t="str">
        <x:v>AST-000133</x:v>
      </x:c>
      <x:c r="B134" s="26" t="str">
        <x:v>EQUIPMENT_FACT</x:v>
      </x:c>
      <x:c r="C134" s="26" t="str">
        <x:v>EQP-000049</x:v>
      </x:c>
      <x:c r="D134" s="26" t="str">
        <x:v>SRC-000015</x:v>
      </x:c>
      <x:c r="E134" s="26" t="str">
        <x:v>equipment p.1–3</x:v>
      </x:c>
      <x:c r="F134" s="26" t="str">
        <x:v>MANUAL</x:v>
      </x:c>
      <x:c r="G134" s="26" t="str">
        <x:v>VERIFIED</x:v>
      </x:c>
      <x:c r="H134" s="26" t="str">
        <x:v>EXACT</x:v>
      </x:c>
      <x:c r="I134" s="36" t="n">
        <x:v>46248</x:v>
      </x:c>
      <x:c r="J134" s="26" t="str">
        <x:v>ChatGPT/web research</x:v>
      </x:c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 t="str">
        <x:v>AST-000134</x:v>
      </x:c>
      <x:c r="B135" s="26" t="str">
        <x:v>EQUIPMENT_FACT</x:v>
      </x:c>
      <x:c r="C135" s="26" t="str">
        <x:v>EQP-000050</x:v>
      </x:c>
      <x:c r="D135" s="26" t="str">
        <x:v>SRC-000015</x:v>
      </x:c>
      <x:c r="E135" s="26" t="str">
        <x:v>equipment p.1–3</x:v>
      </x:c>
      <x:c r="F135" s="26" t="str">
        <x:v>MANUAL</x:v>
      </x:c>
      <x:c r="G135" s="26" t="str">
        <x:v>VERIFIED</x:v>
      </x:c>
      <x:c r="H135" s="26" t="str">
        <x:v>EXACT</x:v>
      </x:c>
      <x:c r="I135" s="36" t="n">
        <x:v>46248</x:v>
      </x:c>
      <x:c r="J135" s="26" t="str">
        <x:v>ChatGPT/web research</x:v>
      </x:c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 t="str">
        <x:v>AST-000135</x:v>
      </x:c>
      <x:c r="B136" s="26" t="str">
        <x:v>EQUIPMENT_FACT</x:v>
      </x:c>
      <x:c r="C136" s="26" t="str">
        <x:v>EQP-000051</x:v>
      </x:c>
      <x:c r="D136" s="26" t="str">
        <x:v>SRC-000015</x:v>
      </x:c>
      <x:c r="E136" s="26" t="str">
        <x:v>equipment p.1–3</x:v>
      </x:c>
      <x:c r="F136" s="26" t="str">
        <x:v>MANUAL</x:v>
      </x:c>
      <x:c r="G136" s="26" t="str">
        <x:v>VERIFIED</x:v>
      </x:c>
      <x:c r="H136" s="26" t="str">
        <x:v>EXACT</x:v>
      </x:c>
      <x:c r="I136" s="36" t="n">
        <x:v>46248</x:v>
      </x:c>
      <x:c r="J136" s="26" t="str">
        <x:v>ChatGPT/web research</x:v>
      </x:c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 t="str">
        <x:v>AST-000136</x:v>
      </x:c>
      <x:c r="B137" s="26" t="str">
        <x:v>EQUIPMENT_FACT</x:v>
      </x:c>
      <x:c r="C137" s="26" t="str">
        <x:v>EQP-000052</x:v>
      </x:c>
      <x:c r="D137" s="26" t="str">
        <x:v>SRC-000015</x:v>
      </x:c>
      <x:c r="E137" s="26" t="str">
        <x:v>equipment p.1–3</x:v>
      </x:c>
      <x:c r="F137" s="26" t="str">
        <x:v>MANUAL</x:v>
      </x:c>
      <x:c r="G137" s="26" t="str">
        <x:v>VERIFIED</x:v>
      </x:c>
      <x:c r="H137" s="26" t="str">
        <x:v>EXACT</x:v>
      </x:c>
      <x:c r="I137" s="36" t="n">
        <x:v>46248</x:v>
      </x:c>
      <x:c r="J137" s="26" t="str">
        <x:v>ChatGPT/web research</x:v>
      </x:c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 t="str">
        <x:v>AST-000137</x:v>
      </x:c>
      <x:c r="B138" s="26" t="str">
        <x:v>EQUIPMENT_FACT</x:v>
      </x:c>
      <x:c r="C138" s="26" t="str">
        <x:v>EQP-000053</x:v>
      </x:c>
      <x:c r="D138" s="26" t="str">
        <x:v>SRC-000015</x:v>
      </x:c>
      <x:c r="E138" s="26" t="str">
        <x:v>equipment p.1–3</x:v>
      </x:c>
      <x:c r="F138" s="26" t="str">
        <x:v>MANUAL</x:v>
      </x:c>
      <x:c r="G138" s="26" t="str">
        <x:v>VERIFIED</x:v>
      </x:c>
      <x:c r="H138" s="26" t="str">
        <x:v>EXACT</x:v>
      </x:c>
      <x:c r="I138" s="36" t="n">
        <x:v>46248</x:v>
      </x:c>
      <x:c r="J138" s="26" t="str">
        <x:v>ChatGPT/web research</x:v>
      </x:c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 t="str">
        <x:v>AST-000138</x:v>
      </x:c>
      <x:c r="B139" s="26" t="str">
        <x:v>EQUIPMENT_FACT</x:v>
      </x:c>
      <x:c r="C139" s="26" t="str">
        <x:v>EQP-000054</x:v>
      </x:c>
      <x:c r="D139" s="26" t="str">
        <x:v>SRC-000015</x:v>
      </x:c>
      <x:c r="E139" s="26" t="str">
        <x:v>equipment p.1–3</x:v>
      </x:c>
      <x:c r="F139" s="26" t="str">
        <x:v>MANUAL</x:v>
      </x:c>
      <x:c r="G139" s="26" t="str">
        <x:v>VERIFIED</x:v>
      </x:c>
      <x:c r="H139" s="26" t="str">
        <x:v>EXACT</x:v>
      </x:c>
      <x:c r="I139" s="36" t="n">
        <x:v>46248</x:v>
      </x:c>
      <x:c r="J139" s="26" t="str">
        <x:v>ChatGPT/web research</x:v>
      </x:c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 t="str">
        <x:v>AST-000139</x:v>
      </x:c>
      <x:c r="B140" s="26" t="str">
        <x:v>EQUIPMENT_FACT</x:v>
      </x:c>
      <x:c r="C140" s="26" t="str">
        <x:v>EQP-000055</x:v>
      </x:c>
      <x:c r="D140" s="26" t="str">
        <x:v>SRC-000015</x:v>
      </x:c>
      <x:c r="E140" s="26" t="str">
        <x:v>equipment p.1–3</x:v>
      </x:c>
      <x:c r="F140" s="26" t="str">
        <x:v>MANUAL</x:v>
      </x:c>
      <x:c r="G140" s="26" t="str">
        <x:v>VERIFIED</x:v>
      </x:c>
      <x:c r="H140" s="26" t="str">
        <x:v>EXACT</x:v>
      </x:c>
      <x:c r="I140" s="36" t="n">
        <x:v>46248</x:v>
      </x:c>
      <x:c r="J140" s="26" t="str">
        <x:v>ChatGPT/web research</x:v>
      </x:c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 t="str">
        <x:v>AST-000140</x:v>
      </x:c>
      <x:c r="B141" s="26" t="str">
        <x:v>EQUIPMENT_FACT</x:v>
      </x:c>
      <x:c r="C141" s="26" t="str">
        <x:v>EQP-000056</x:v>
      </x:c>
      <x:c r="D141" s="26" t="str">
        <x:v>SRC-000015</x:v>
      </x:c>
      <x:c r="E141" s="26" t="str">
        <x:v>equipment p.1–3</x:v>
      </x:c>
      <x:c r="F141" s="26" t="str">
        <x:v>MANUAL</x:v>
      </x:c>
      <x:c r="G141" s="26" t="str">
        <x:v>VERIFIED</x:v>
      </x:c>
      <x:c r="H141" s="26" t="str">
        <x:v>EXACT</x:v>
      </x:c>
      <x:c r="I141" s="36" t="n">
        <x:v>46248</x:v>
      </x:c>
      <x:c r="J141" s="26" t="str">
        <x:v>ChatGPT/web research</x:v>
      </x:c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 t="str">
        <x:v>AST-000141</x:v>
      </x:c>
      <x:c r="B142" s="26" t="str">
        <x:v>EQUIPMENT_FACT</x:v>
      </x:c>
      <x:c r="C142" s="26" t="str">
        <x:v>EQP-000057</x:v>
      </x:c>
      <x:c r="D142" s="26" t="str">
        <x:v>SRC-000015</x:v>
      </x:c>
      <x:c r="E142" s="26" t="str">
        <x:v>equipment p.1–3</x:v>
      </x:c>
      <x:c r="F142" s="26" t="str">
        <x:v>MANUAL</x:v>
      </x:c>
      <x:c r="G142" s="26" t="str">
        <x:v>VERIFIED</x:v>
      </x:c>
      <x:c r="H142" s="26" t="str">
        <x:v>EXACT</x:v>
      </x:c>
      <x:c r="I142" s="36" t="n">
        <x:v>46248</x:v>
      </x:c>
      <x:c r="J142" s="26" t="str">
        <x:v>ChatGPT/web research</x:v>
      </x:c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 t="str">
        <x:v>AST-000142</x:v>
      </x:c>
      <x:c r="B143" s="26" t="str">
        <x:v>EQUIPMENT_FACT</x:v>
      </x:c>
      <x:c r="C143" s="26" t="str">
        <x:v>EQP-000058</x:v>
      </x:c>
      <x:c r="D143" s="26" t="str">
        <x:v>SRC-000015</x:v>
      </x:c>
      <x:c r="E143" s="26" t="str">
        <x:v>equipment p.1–3</x:v>
      </x:c>
      <x:c r="F143" s="26" t="str">
        <x:v>MANUAL</x:v>
      </x:c>
      <x:c r="G143" s="26" t="str">
        <x:v>VERIFIED</x:v>
      </x:c>
      <x:c r="H143" s="26" t="str">
        <x:v>EXACT</x:v>
      </x:c>
      <x:c r="I143" s="36" t="n">
        <x:v>46248</x:v>
      </x:c>
      <x:c r="J143" s="26" t="str">
        <x:v>ChatGPT/web research</x:v>
      </x:c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 t="str">
        <x:v>AST-000143</x:v>
      </x:c>
      <x:c r="B144" s="26" t="str">
        <x:v>EQUIPMENT_FACT</x:v>
      </x:c>
      <x:c r="C144" s="26" t="str">
        <x:v>EQP-000059</x:v>
      </x:c>
      <x:c r="D144" s="26" t="str">
        <x:v>SRC-000015</x:v>
      </x:c>
      <x:c r="E144" s="26" t="str">
        <x:v>equipment p.1–3</x:v>
      </x:c>
      <x:c r="F144" s="26" t="str">
        <x:v>MANUAL</x:v>
      </x:c>
      <x:c r="G144" s="26" t="str">
        <x:v>VERIFIED</x:v>
      </x:c>
      <x:c r="H144" s="26" t="str">
        <x:v>EXACT</x:v>
      </x:c>
      <x:c r="I144" s="36" t="n">
        <x:v>46248</x:v>
      </x:c>
      <x:c r="J144" s="26" t="str">
        <x:v>ChatGPT/web research</x:v>
      </x:c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 t="str">
        <x:v>AST-000144</x:v>
      </x:c>
      <x:c r="B145" s="26" t="str">
        <x:v>EQUIPMENT_FACT</x:v>
      </x:c>
      <x:c r="C145" s="26" t="str">
        <x:v>EQP-000060</x:v>
      </x:c>
      <x:c r="D145" s="26" t="str">
        <x:v>SRC-000015</x:v>
      </x:c>
      <x:c r="E145" s="26" t="str">
        <x:v>equipment p.1–3</x:v>
      </x:c>
      <x:c r="F145" s="26" t="str">
        <x:v>MANUAL</x:v>
      </x:c>
      <x:c r="G145" s="26" t="str">
        <x:v>VERIFIED</x:v>
      </x:c>
      <x:c r="H145" s="26" t="str">
        <x:v>EXACT</x:v>
      </x:c>
      <x:c r="I145" s="36" t="n">
        <x:v>46248</x:v>
      </x:c>
      <x:c r="J145" s="26" t="str">
        <x:v>ChatGPT/web research</x:v>
      </x:c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 t="str">
        <x:v>AST-000145</x:v>
      </x:c>
      <x:c r="B146" s="26" t="str">
        <x:v>EQUIPMENT_FACT</x:v>
      </x:c>
      <x:c r="C146" s="26" t="str">
        <x:v>EQP-000061</x:v>
      </x:c>
      <x:c r="D146" s="26" t="str">
        <x:v>SRC-000016</x:v>
      </x:c>
      <x:c r="E146" s="26" t="str">
        <x:v>Prestige trim hierarchy</x:v>
      </x:c>
      <x:c r="F146" s="26" t="str">
        <x:v>MANUAL</x:v>
      </x:c>
      <x:c r="G146" s="26" t="str">
        <x:v>VERIFIED</x:v>
      </x:c>
      <x:c r="H146" s="26" t="str">
        <x:v>EXACT</x:v>
      </x:c>
      <x:c r="I146" s="36" t="n">
        <x:v>46248</x:v>
      </x:c>
      <x:c r="J146" s="26" t="str">
        <x:v>ChatGPT/web research</x:v>
      </x:c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 t="str">
        <x:v>AST-000146</x:v>
      </x:c>
      <x:c r="B147" s="26" t="str">
        <x:v>EQUIPMENT_FACT</x:v>
      </x:c>
      <x:c r="C147" s="26" t="str">
        <x:v>EQP-000062</x:v>
      </x:c>
      <x:c r="D147" s="26" t="str">
        <x:v>SRC-000016</x:v>
      </x:c>
      <x:c r="E147" s="26" t="str">
        <x:v>Prestige trim hierarchy</x:v>
      </x:c>
      <x:c r="F147" s="26" t="str">
        <x:v>MANUAL</x:v>
      </x:c>
      <x:c r="G147" s="26" t="str">
        <x:v>VERIFIED</x:v>
      </x:c>
      <x:c r="H147" s="26" t="str">
        <x:v>EXACT</x:v>
      </x:c>
      <x:c r="I147" s="36" t="n">
        <x:v>46248</x:v>
      </x:c>
      <x:c r="J147" s="26" t="str">
        <x:v>ChatGPT/web research</x:v>
      </x:c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 t="str">
        <x:v>AST-000147</x:v>
      </x:c>
      <x:c r="B148" s="26" t="str">
        <x:v>EQUIPMENT_FACT</x:v>
      </x:c>
      <x:c r="C148" s="26" t="str">
        <x:v>EQP-000063</x:v>
      </x:c>
      <x:c r="D148" s="26" t="str">
        <x:v>SRC-000016</x:v>
      </x:c>
      <x:c r="E148" s="26" t="str">
        <x:v>Prestige trim hierarchy</x:v>
      </x:c>
      <x:c r="F148" s="26" t="str">
        <x:v>MANUAL</x:v>
      </x:c>
      <x:c r="G148" s="26" t="str">
        <x:v>VERIFIED</x:v>
      </x:c>
      <x:c r="H148" s="26" t="str">
        <x:v>EXACT</x:v>
      </x:c>
      <x:c r="I148" s="36" t="n">
        <x:v>46248</x:v>
      </x:c>
      <x:c r="J148" s="26" t="str">
        <x:v>ChatGPT/web research</x:v>
      </x:c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 t="str">
        <x:v>AST-000148</x:v>
      </x:c>
      <x:c r="B149" s="26" t="str">
        <x:v>EQUIPMENT_FACT</x:v>
      </x:c>
      <x:c r="C149" s="26" t="str">
        <x:v>EQP-000064</x:v>
      </x:c>
      <x:c r="D149" s="26" t="str">
        <x:v>SRC-000016</x:v>
      </x:c>
      <x:c r="E149" s="26" t="str">
        <x:v>Prestige trim hierarchy</x:v>
      </x:c>
      <x:c r="F149" s="26" t="str">
        <x:v>MANUAL</x:v>
      </x:c>
      <x:c r="G149" s="26" t="str">
        <x:v>VERIFIED</x:v>
      </x:c>
      <x:c r="H149" s="26" t="str">
        <x:v>EXACT</x:v>
      </x:c>
      <x:c r="I149" s="36" t="n">
        <x:v>46248</x:v>
      </x:c>
      <x:c r="J149" s="26" t="str">
        <x:v>ChatGPT/web research</x:v>
      </x:c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 t="str">
        <x:v>AST-000149</x:v>
      </x:c>
      <x:c r="B150" s="26" t="str">
        <x:v>EQUIPMENT_FACT</x:v>
      </x:c>
      <x:c r="C150" s="26" t="str">
        <x:v>EQP-000065</x:v>
      </x:c>
      <x:c r="D150" s="26" t="str">
        <x:v>SRC-000016</x:v>
      </x:c>
      <x:c r="E150" s="26" t="str">
        <x:v>Prestige trim hierarchy</x:v>
      </x:c>
      <x:c r="F150" s="26" t="str">
        <x:v>MANUAL</x:v>
      </x:c>
      <x:c r="G150" s="26" t="str">
        <x:v>VERIFIED</x:v>
      </x:c>
      <x:c r="H150" s="26" t="str">
        <x:v>EXACT</x:v>
      </x:c>
      <x:c r="I150" s="36" t="n">
        <x:v>46248</x:v>
      </x:c>
      <x:c r="J150" s="26" t="str">
        <x:v>ChatGPT/web research</x:v>
      </x:c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 t="str">
        <x:v>AST-000150</x:v>
      </x:c>
      <x:c r="B151" s="26" t="str">
        <x:v>EQUIPMENT_FACT</x:v>
      </x:c>
      <x:c r="C151" s="26" t="str">
        <x:v>EQP-000066</x:v>
      </x:c>
      <x:c r="D151" s="26" t="str">
        <x:v>SRC-000016</x:v>
      </x:c>
      <x:c r="E151" s="26" t="str">
        <x:v>Prestige trim hierarchy</x:v>
      </x:c>
      <x:c r="F151" s="26" t="str">
        <x:v>MANUAL</x:v>
      </x:c>
      <x:c r="G151" s="26" t="str">
        <x:v>VERIFIED</x:v>
      </x:c>
      <x:c r="H151" s="26" t="str">
        <x:v>EXACT</x:v>
      </x:c>
      <x:c r="I151" s="36" t="n">
        <x:v>46248</x:v>
      </x:c>
      <x:c r="J151" s="26" t="str">
        <x:v>ChatGPT/web research</x:v>
      </x:c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 t="str">
        <x:v>AST-000151</x:v>
      </x:c>
      <x:c r="B152" s="26" t="str">
        <x:v>EQUIPMENT_FACT</x:v>
      </x:c>
      <x:c r="C152" s="26" t="str">
        <x:v>EQP-000067</x:v>
      </x:c>
      <x:c r="D152" s="26" t="str">
        <x:v>SRC-000016</x:v>
      </x:c>
      <x:c r="E152" s="26" t="str">
        <x:v>Prestige trim hierarchy</x:v>
      </x:c>
      <x:c r="F152" s="26" t="str">
        <x:v>MANUAL</x:v>
      </x:c>
      <x:c r="G152" s="26" t="str">
        <x:v>VERIFIED</x:v>
      </x:c>
      <x:c r="H152" s="26" t="str">
        <x:v>EXACT</x:v>
      </x:c>
      <x:c r="I152" s="36" t="n">
        <x:v>46248</x:v>
      </x:c>
      <x:c r="J152" s="26" t="str">
        <x:v>ChatGPT/web research</x:v>
      </x:c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 t="str">
        <x:v>AST-000152</x:v>
      </x:c>
      <x:c r="B153" s="26" t="str">
        <x:v>EQUIPMENT_FACT</x:v>
      </x:c>
      <x:c r="C153" s="26" t="str">
        <x:v>EQP-000068</x:v>
      </x:c>
      <x:c r="D153" s="26" t="str">
        <x:v>SRC-000016</x:v>
      </x:c>
      <x:c r="E153" s="26" t="str">
        <x:v>Prestige trim hierarchy</x:v>
      </x:c>
      <x:c r="F153" s="26" t="str">
        <x:v>MANUAL</x:v>
      </x:c>
      <x:c r="G153" s="26" t="str">
        <x:v>VERIFIED</x:v>
      </x:c>
      <x:c r="H153" s="26" t="str">
        <x:v>EXACT</x:v>
      </x:c>
      <x:c r="I153" s="36" t="n">
        <x:v>46248</x:v>
      </x:c>
      <x:c r="J153" s="26" t="str">
        <x:v>ChatGPT/web research</x:v>
      </x:c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 t="str">
        <x:v>AST-000153</x:v>
      </x:c>
      <x:c r="B154" s="26" t="str">
        <x:v>EQUIPMENT_FACT</x:v>
      </x:c>
      <x:c r="C154" s="26" t="str">
        <x:v>EQP-000069</x:v>
      </x:c>
      <x:c r="D154" s="26" t="str">
        <x:v>SRC-000016</x:v>
      </x:c>
      <x:c r="E154" s="26" t="str">
        <x:v>Prestige trim hierarchy</x:v>
      </x:c>
      <x:c r="F154" s="26" t="str">
        <x:v>MANUAL</x:v>
      </x:c>
      <x:c r="G154" s="26" t="str">
        <x:v>VERIFIED</x:v>
      </x:c>
      <x:c r="H154" s="26" t="str">
        <x:v>EXACT</x:v>
      </x:c>
      <x:c r="I154" s="36" t="n">
        <x:v>46248</x:v>
      </x:c>
      <x:c r="J154" s="26" t="str">
        <x:v>ChatGPT/web research</x:v>
      </x:c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 t="str">
        <x:v>AST-000154</x:v>
      </x:c>
      <x:c r="B155" s="26" t="str">
        <x:v>EQUIPMENT_FACT</x:v>
      </x:c>
      <x:c r="C155" s="26" t="str">
        <x:v>EQP-000070</x:v>
      </x:c>
      <x:c r="D155" s="26" t="str">
        <x:v>SRC-000016</x:v>
      </x:c>
      <x:c r="E155" s="26" t="str">
        <x:v>Prestige trim hierarchy</x:v>
      </x:c>
      <x:c r="F155" s="26" t="str">
        <x:v>MANUAL</x:v>
      </x:c>
      <x:c r="G155" s="26" t="str">
        <x:v>VERIFIED</x:v>
      </x:c>
      <x:c r="H155" s="26" t="str">
        <x:v>EXACT</x:v>
      </x:c>
      <x:c r="I155" s="36" t="n">
        <x:v>46248</x:v>
      </x:c>
      <x:c r="J155" s="26" t="str">
        <x:v>ChatGPT/web research</x:v>
      </x:c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 t="str">
        <x:v>AST-000155</x:v>
      </x:c>
      <x:c r="B156" s="26" t="str">
        <x:v>EQUIPMENT_FACT</x:v>
      </x:c>
      <x:c r="C156" s="26" t="str">
        <x:v>EQP-000071</x:v>
      </x:c>
      <x:c r="D156" s="26" t="str">
        <x:v>SRC-000016</x:v>
      </x:c>
      <x:c r="E156" s="26" t="str">
        <x:v>feature page</x:v>
      </x:c>
      <x:c r="F156" s="26" t="str">
        <x:v>MANUAL</x:v>
      </x:c>
      <x:c r="G156" s="26" t="str">
        <x:v>UNVERIFIED</x:v>
      </x:c>
      <x:c r="H156" s="26" t="str">
        <x:v>UNCERTAIN</x:v>
      </x:c>
      <x:c r="I156" s="36"/>
      <x:c r="J156" s="26" t="str">
        <x:v>ChatGPT/web research</x:v>
      </x:c>
      <x:c r="K156" s="26" t="str">
        <x:v>Not explicitly resolved in this pass.</x:v>
      </x:c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 t="str">
        <x:v>AST-000156</x:v>
      </x:c>
      <x:c r="B157" s="26" t="str">
        <x:v>EQUIPMENT_FACT</x:v>
      </x:c>
      <x:c r="C157" s="26" t="str">
        <x:v>EQP-000072</x:v>
      </x:c>
      <x:c r="D157" s="26" t="str">
        <x:v>SRC-000016</x:v>
      </x:c>
      <x:c r="E157" s="26" t="str">
        <x:v>feature page</x:v>
      </x:c>
      <x:c r="F157" s="26" t="str">
        <x:v>MANUAL</x:v>
      </x:c>
      <x:c r="G157" s="26" t="str">
        <x:v>UNVERIFIED</x:v>
      </x:c>
      <x:c r="H157" s="26" t="str">
        <x:v>UNCERTAIN</x:v>
      </x:c>
      <x:c r="I157" s="36"/>
      <x:c r="J157" s="26" t="str">
        <x:v>ChatGPT/web research</x:v>
      </x:c>
      <x:c r="K157" s="26" t="str">
        <x:v>Not explicitly resolved in this pass.</x:v>
      </x:c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 t="str">
        <x:v>AST-000157</x:v>
      </x:c>
      <x:c r="B158" s="26" t="str">
        <x:v>EQUIPMENT_FACT</x:v>
      </x:c>
      <x:c r="C158" s="26" t="str">
        <x:v>EQP-000073</x:v>
      </x:c>
      <x:c r="D158" s="26" t="str">
        <x:v>SRC-000016</x:v>
      </x:c>
      <x:c r="E158" s="26" t="str">
        <x:v>feature page</x:v>
      </x:c>
      <x:c r="F158" s="26" t="str">
        <x:v>MANUAL</x:v>
      </x:c>
      <x:c r="G158" s="26" t="str">
        <x:v>UNVERIFIED</x:v>
      </x:c>
      <x:c r="H158" s="26" t="str">
        <x:v>UNCERTAIN</x:v>
      </x:c>
      <x:c r="I158" s="36"/>
      <x:c r="J158" s="26" t="str">
        <x:v>ChatGPT/web research</x:v>
      </x:c>
      <x:c r="K158" s="26" t="str">
        <x:v>Not explicitly resolved in this pass.</x:v>
      </x:c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 t="str">
        <x:v>AST-000158</x:v>
      </x:c>
      <x:c r="B159" s="26" t="str">
        <x:v>EQUIPMENT_FACT</x:v>
      </x:c>
      <x:c r="C159" s="26" t="str">
        <x:v>EQP-000074</x:v>
      </x:c>
      <x:c r="D159" s="26" t="str">
        <x:v>SRC-000016</x:v>
      </x:c>
      <x:c r="E159" s="26" t="str">
        <x:v>feature page</x:v>
      </x:c>
      <x:c r="F159" s="26" t="str">
        <x:v>MANUAL</x:v>
      </x:c>
      <x:c r="G159" s="26" t="str">
        <x:v>UNVERIFIED</x:v>
      </x:c>
      <x:c r="H159" s="26" t="str">
        <x:v>UNCERTAIN</x:v>
      </x:c>
      <x:c r="I159" s="36"/>
      <x:c r="J159" s="26" t="str">
        <x:v>ChatGPT/web research</x:v>
      </x:c>
      <x:c r="K159" s="26" t="str">
        <x:v>Not explicitly resolved in this pass.</x:v>
      </x:c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 t="str">
        <x:v>AST-000159</x:v>
      </x:c>
      <x:c r="B160" s="26" t="str">
        <x:v>EQUIPMENT_FACT</x:v>
      </x:c>
      <x:c r="C160" s="26" t="str">
        <x:v>EQP-000075</x:v>
      </x:c>
      <x:c r="D160" s="26" t="str">
        <x:v>SRC-000008</x:v>
      </x:c>
      <x:c r="E160" s="26" t="str">
        <x:v>unresolved trim</x:v>
      </x:c>
      <x:c r="F160" s="26" t="str">
        <x:v>MANUAL</x:v>
      </x:c>
      <x:c r="G160" s="26" t="str">
        <x:v>UNVERIFIED</x:v>
      </x:c>
      <x:c r="H160" s="26" t="str">
        <x:v>UNCERTAIN</x:v>
      </x:c>
      <x:c r="I160" s="36"/>
      <x:c r="J160" s="26" t="str">
        <x:v>ChatGPT/web research</x:v>
      </x:c>
      <x:c r="K160" s="26" t="str">
        <x:v>Configuration identity unresolved.</x:v>
      </x:c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 t="str">
        <x:v>AST-000160</x:v>
      </x:c>
      <x:c r="B161" s="26" t="str">
        <x:v>EQUIPMENT_FACT</x:v>
      </x:c>
      <x:c r="C161" s="26" t="str">
        <x:v>EQP-000076</x:v>
      </x:c>
      <x:c r="D161" s="26" t="str">
        <x:v>SRC-000008</x:v>
      </x:c>
      <x:c r="E161" s="26" t="str">
        <x:v>unresolved trim</x:v>
      </x:c>
      <x:c r="F161" s="26" t="str">
        <x:v>MANUAL</x:v>
      </x:c>
      <x:c r="G161" s="26" t="str">
        <x:v>UNVERIFIED</x:v>
      </x:c>
      <x:c r="H161" s="26" t="str">
        <x:v>UNCERTAIN</x:v>
      </x:c>
      <x:c r="I161" s="36"/>
      <x:c r="J161" s="26" t="str">
        <x:v>ChatGPT/web research</x:v>
      </x:c>
      <x:c r="K161" s="26" t="str">
        <x:v>Configuration identity unresolved.</x:v>
      </x:c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 t="str">
        <x:v>AST-000161</x:v>
      </x:c>
      <x:c r="B162" s="26" t="str">
        <x:v>EQUIPMENT_FACT</x:v>
      </x:c>
      <x:c r="C162" s="26" t="str">
        <x:v>EQP-000077</x:v>
      </x:c>
      <x:c r="D162" s="26" t="str">
        <x:v>SRC-000008</x:v>
      </x:c>
      <x:c r="E162" s="26" t="str">
        <x:v>unresolved trim</x:v>
      </x:c>
      <x:c r="F162" s="26" t="str">
        <x:v>MANUAL</x:v>
      </x:c>
      <x:c r="G162" s="26" t="str">
        <x:v>UNVERIFIED</x:v>
      </x:c>
      <x:c r="H162" s="26" t="str">
        <x:v>UNCERTAIN</x:v>
      </x:c>
      <x:c r="I162" s="36"/>
      <x:c r="J162" s="26" t="str">
        <x:v>ChatGPT/web research</x:v>
      </x:c>
      <x:c r="K162" s="26" t="str">
        <x:v>Configuration identity unresolved.</x:v>
      </x:c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 t="str">
        <x:v>AST-000162</x:v>
      </x:c>
      <x:c r="B163" s="26" t="str">
        <x:v>EQUIPMENT_FACT</x:v>
      </x:c>
      <x:c r="C163" s="26" t="str">
        <x:v>EQP-000078</x:v>
      </x:c>
      <x:c r="D163" s="26" t="str">
        <x:v>SRC-000008</x:v>
      </x:c>
      <x:c r="E163" s="26" t="str">
        <x:v>unresolved trim</x:v>
      </x:c>
      <x:c r="F163" s="26" t="str">
        <x:v>MANUAL</x:v>
      </x:c>
      <x:c r="G163" s="26" t="str">
        <x:v>UNVERIFIED</x:v>
      </x:c>
      <x:c r="H163" s="26" t="str">
        <x:v>UNCERTAIN</x:v>
      </x:c>
      <x:c r="I163" s="36"/>
      <x:c r="J163" s="26" t="str">
        <x:v>ChatGPT/web research</x:v>
      </x:c>
      <x:c r="K163" s="26" t="str">
        <x:v>Configuration identity unresolved.</x:v>
      </x:c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 t="str">
        <x:v>AST-000163</x:v>
      </x:c>
      <x:c r="B164" s="26" t="str">
        <x:v>EQUIPMENT_FACT</x:v>
      </x:c>
      <x:c r="C164" s="26" t="str">
        <x:v>EQP-000079</x:v>
      </x:c>
      <x:c r="D164" s="26" t="str">
        <x:v>SRC-000008</x:v>
      </x:c>
      <x:c r="E164" s="26" t="str">
        <x:v>unresolved trim</x:v>
      </x:c>
      <x:c r="F164" s="26" t="str">
        <x:v>MANUAL</x:v>
      </x:c>
      <x:c r="G164" s="26" t="str">
        <x:v>UNVERIFIED</x:v>
      </x:c>
      <x:c r="H164" s="26" t="str">
        <x:v>UNCERTAIN</x:v>
      </x:c>
      <x:c r="I164" s="36"/>
      <x:c r="J164" s="26" t="str">
        <x:v>ChatGPT/web research</x:v>
      </x:c>
      <x:c r="K164" s="26" t="str">
        <x:v>Configuration identity unresolved.</x:v>
      </x:c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 t="str">
        <x:v>AST-000164</x:v>
      </x:c>
      <x:c r="B165" s="26" t="str">
        <x:v>EQUIPMENT_FACT</x:v>
      </x:c>
      <x:c r="C165" s="26" t="str">
        <x:v>EQP-000080</x:v>
      </x:c>
      <x:c r="D165" s="26" t="str">
        <x:v>SRC-000008</x:v>
      </x:c>
      <x:c r="E165" s="26" t="str">
        <x:v>unresolved trim</x:v>
      </x:c>
      <x:c r="F165" s="26" t="str">
        <x:v>MANUAL</x:v>
      </x:c>
      <x:c r="G165" s="26" t="str">
        <x:v>UNVERIFIED</x:v>
      </x:c>
      <x:c r="H165" s="26" t="str">
        <x:v>UNCERTAIN</x:v>
      </x:c>
      <x:c r="I165" s="36"/>
      <x:c r="J165" s="26" t="str">
        <x:v>ChatGPT/web research</x:v>
      </x:c>
      <x:c r="K165" s="26" t="str">
        <x:v>Configuration identity unresolved.</x:v>
      </x:c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 t="str">
        <x:v>AST-000165</x:v>
      </x:c>
      <x:c r="B166" s="26" t="str">
        <x:v>EQUIPMENT_FACT</x:v>
      </x:c>
      <x:c r="C166" s="26" t="str">
        <x:v>EQP-000081</x:v>
      </x:c>
      <x:c r="D166" s="26" t="str">
        <x:v>SRC-000008</x:v>
      </x:c>
      <x:c r="E166" s="26" t="str">
        <x:v>unresolved trim</x:v>
      </x:c>
      <x:c r="F166" s="26" t="str">
        <x:v>MANUAL</x:v>
      </x:c>
      <x:c r="G166" s="26" t="str">
        <x:v>UNVERIFIED</x:v>
      </x:c>
      <x:c r="H166" s="26" t="str">
        <x:v>UNCERTAIN</x:v>
      </x:c>
      <x:c r="I166" s="36"/>
      <x:c r="J166" s="26" t="str">
        <x:v>ChatGPT/web research</x:v>
      </x:c>
      <x:c r="K166" s="26" t="str">
        <x:v>Configuration identity unresolved.</x:v>
      </x:c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 t="str">
        <x:v>AST-000166</x:v>
      </x:c>
      <x:c r="B167" s="26" t="str">
        <x:v>EQUIPMENT_FACT</x:v>
      </x:c>
      <x:c r="C167" s="26" t="str">
        <x:v>EQP-000082</x:v>
      </x:c>
      <x:c r="D167" s="26" t="str">
        <x:v>SRC-000021</x:v>
      </x:c>
      <x:c r="E167" s="26" t="str">
        <x:v>Expression configurator</x:v>
      </x:c>
      <x:c r="F167" s="26" t="str">
        <x:v>MANUAL</x:v>
      </x:c>
      <x:c r="G167" s="26" t="str">
        <x:v>VERIFIED</x:v>
      </x:c>
      <x:c r="H167" s="26" t="str">
        <x:v>EXACT</x:v>
      </x:c>
      <x:c r="I167" s="36" t="n">
        <x:v>46248</x:v>
      </x:c>
      <x:c r="J167" s="26" t="str">
        <x:v>ChatGPT/web research</x:v>
      </x:c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 t="str">
        <x:v>AST-000167</x:v>
      </x:c>
      <x:c r="B168" s="26" t="str">
        <x:v>EQUIPMENT_FACT</x:v>
      </x:c>
      <x:c r="C168" s="26" t="str">
        <x:v>EQP-000083</x:v>
      </x:c>
      <x:c r="D168" s="26" t="str">
        <x:v>SRC-000021</x:v>
      </x:c>
      <x:c r="E168" s="26" t="str">
        <x:v>Expression configurator</x:v>
      </x:c>
      <x:c r="F168" s="26" t="str">
        <x:v>MANUAL</x:v>
      </x:c>
      <x:c r="G168" s="26" t="str">
        <x:v>VERIFIED</x:v>
      </x:c>
      <x:c r="H168" s="26" t="str">
        <x:v>EXACT</x:v>
      </x:c>
      <x:c r="I168" s="36" t="n">
        <x:v>46248</x:v>
      </x:c>
      <x:c r="J168" s="26" t="str">
        <x:v>ChatGPT/web research</x:v>
      </x:c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 t="str">
        <x:v>AST-000168</x:v>
      </x:c>
      <x:c r="B169" s="26" t="str">
        <x:v>EQUIPMENT_FACT</x:v>
      </x:c>
      <x:c r="C169" s="26" t="str">
        <x:v>EQP-000084</x:v>
      </x:c>
      <x:c r="D169" s="26" t="str">
        <x:v>SRC-000021</x:v>
      </x:c>
      <x:c r="E169" s="26" t="str">
        <x:v>Expression configurator</x:v>
      </x:c>
      <x:c r="F169" s="26" t="str">
        <x:v>MANUAL</x:v>
      </x:c>
      <x:c r="G169" s="26" t="str">
        <x:v>VERIFIED</x:v>
      </x:c>
      <x:c r="H169" s="26" t="str">
        <x:v>EXACT</x:v>
      </x:c>
      <x:c r="I169" s="36" t="n">
        <x:v>46248</x:v>
      </x:c>
      <x:c r="J169" s="26" t="str">
        <x:v>ChatGPT/web research</x:v>
      </x:c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 t="str">
        <x:v>AST-000169</x:v>
      </x:c>
      <x:c r="B170" s="26" t="str">
        <x:v>EQUIPMENT_FACT</x:v>
      </x:c>
      <x:c r="C170" s="26" t="str">
        <x:v>EQP-000085</x:v>
      </x:c>
      <x:c r="D170" s="26" t="str">
        <x:v>SRC-000021</x:v>
      </x:c>
      <x:c r="E170" s="26" t="str">
        <x:v>Expression configurator</x:v>
      </x:c>
      <x:c r="F170" s="26" t="str">
        <x:v>MANUAL</x:v>
      </x:c>
      <x:c r="G170" s="26" t="str">
        <x:v>VERIFIED</x:v>
      </x:c>
      <x:c r="H170" s="26" t="str">
        <x:v>EXACT</x:v>
      </x:c>
      <x:c r="I170" s="36" t="n">
        <x:v>46248</x:v>
      </x:c>
      <x:c r="J170" s="26" t="str">
        <x:v>ChatGPT/web research</x:v>
      </x:c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 t="str">
        <x:v>AST-000170</x:v>
      </x:c>
      <x:c r="B171" s="26" t="str">
        <x:v>EQUIPMENT_FACT</x:v>
      </x:c>
      <x:c r="C171" s="26" t="str">
        <x:v>EQP-000086</x:v>
      </x:c>
      <x:c r="D171" s="26" t="str">
        <x:v>SRC-000021</x:v>
      </x:c>
      <x:c r="E171" s="26" t="str">
        <x:v>Expression configurator</x:v>
      </x:c>
      <x:c r="F171" s="26" t="str">
        <x:v>MANUAL</x:v>
      </x:c>
      <x:c r="G171" s="26" t="str">
        <x:v>VERIFIED</x:v>
      </x:c>
      <x:c r="H171" s="26" t="str">
        <x:v>EXACT</x:v>
      </x:c>
      <x:c r="I171" s="36" t="n">
        <x:v>46248</x:v>
      </x:c>
      <x:c r="J171" s="26" t="str">
        <x:v>ChatGPT/web research</x:v>
      </x:c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 t="str">
        <x:v>AST-000171</x:v>
      </x:c>
      <x:c r="B172" s="26" t="str">
        <x:v>EQUIPMENT_FACT</x:v>
      </x:c>
      <x:c r="C172" s="26" t="str">
        <x:v>EQP-000087</x:v>
      </x:c>
      <x:c r="D172" s="26" t="str">
        <x:v>SRC-000021</x:v>
      </x:c>
      <x:c r="E172" s="26" t="str">
        <x:v>Expression configurator</x:v>
      </x:c>
      <x:c r="F172" s="26" t="str">
        <x:v>MANUAL</x:v>
      </x:c>
      <x:c r="G172" s="26" t="str">
        <x:v>VERIFIED</x:v>
      </x:c>
      <x:c r="H172" s="26" t="str">
        <x:v>EXACT</x:v>
      </x:c>
      <x:c r="I172" s="36" t="n">
        <x:v>46248</x:v>
      </x:c>
      <x:c r="J172" s="26" t="str">
        <x:v>ChatGPT/web research</x:v>
      </x:c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 t="str">
        <x:v>AST-000172</x:v>
      </x:c>
      <x:c r="B173" s="26" t="str">
        <x:v>EQUIPMENT_FACT</x:v>
      </x:c>
      <x:c r="C173" s="26" t="str">
        <x:v>EQP-000088</x:v>
      </x:c>
      <x:c r="D173" s="26" t="str">
        <x:v>SRC-000021</x:v>
      </x:c>
      <x:c r="E173" s="26" t="str">
        <x:v>Expression configurator</x:v>
      </x:c>
      <x:c r="F173" s="26" t="str">
        <x:v>MANUAL</x:v>
      </x:c>
      <x:c r="G173" s="26" t="str">
        <x:v>VERIFIED</x:v>
      </x:c>
      <x:c r="H173" s="26" t="str">
        <x:v>EXACT</x:v>
      </x:c>
      <x:c r="I173" s="36" t="n">
        <x:v>46248</x:v>
      </x:c>
      <x:c r="J173" s="26" t="str">
        <x:v>ChatGPT/web research</x:v>
      </x:c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 t="str">
        <x:v>AST-000173</x:v>
      </x:c>
      <x:c r="B174" s="26" t="str">
        <x:v>EQUIPMENT_FACT</x:v>
      </x:c>
      <x:c r="C174" s="26" t="str">
        <x:v>EQP-000089</x:v>
      </x:c>
      <x:c r="D174" s="26" t="str">
        <x:v>SRC-000021</x:v>
      </x:c>
      <x:c r="E174" s="26" t="str">
        <x:v>Expression configurator</x:v>
      </x:c>
      <x:c r="F174" s="26" t="str">
        <x:v>MANUAL</x:v>
      </x:c>
      <x:c r="G174" s="26" t="str">
        <x:v>UNVERIFIED</x:v>
      </x:c>
      <x:c r="H174" s="26" t="str">
        <x:v>UNCERTAIN</x:v>
      </x:c>
      <x:c r="I174" s="36"/>
      <x:c r="J174" s="26" t="str">
        <x:v>ChatGPT/web research</x:v>
      </x:c>
      <x:c r="K174" s="26" t="str">
        <x:v>Basic cruise is not mapped to adaptive; remaining items unresolved.</x:v>
      </x:c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 t="str">
        <x:v>AST-000174</x:v>
      </x:c>
      <x:c r="B175" s="26" t="str">
        <x:v>EQUIPMENT_FACT</x:v>
      </x:c>
      <x:c r="C175" s="26" t="str">
        <x:v>EQP-000090</x:v>
      </x:c>
      <x:c r="D175" s="26" t="str">
        <x:v>SRC-000021</x:v>
      </x:c>
      <x:c r="E175" s="26" t="str">
        <x:v>Expression configurator</x:v>
      </x:c>
      <x:c r="F175" s="26" t="str">
        <x:v>MANUAL</x:v>
      </x:c>
      <x:c r="G175" s="26" t="str">
        <x:v>UNVERIFIED</x:v>
      </x:c>
      <x:c r="H175" s="26" t="str">
        <x:v>UNCERTAIN</x:v>
      </x:c>
      <x:c r="I175" s="36"/>
      <x:c r="J175" s="26" t="str">
        <x:v>ChatGPT/web research</x:v>
      </x:c>
      <x:c r="K175" s="26" t="str">
        <x:v>Basic cruise is not mapped to adaptive; remaining items unresolved.</x:v>
      </x:c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 t="str">
        <x:v>AST-000175</x:v>
      </x:c>
      <x:c r="B176" s="26" t="str">
        <x:v>EQUIPMENT_FACT</x:v>
      </x:c>
      <x:c r="C176" s="26" t="str">
        <x:v>EQP-000091</x:v>
      </x:c>
      <x:c r="D176" s="26" t="str">
        <x:v>SRC-000021</x:v>
      </x:c>
      <x:c r="E176" s="26" t="str">
        <x:v>Expression configurator</x:v>
      </x:c>
      <x:c r="F176" s="26" t="str">
        <x:v>MANUAL</x:v>
      </x:c>
      <x:c r="G176" s="26" t="str">
        <x:v>UNVERIFIED</x:v>
      </x:c>
      <x:c r="H176" s="26" t="str">
        <x:v>UNCERTAIN</x:v>
      </x:c>
      <x:c r="I176" s="36"/>
      <x:c r="J176" s="26" t="str">
        <x:v>ChatGPT/web research</x:v>
      </x:c>
      <x:c r="K176" s="26" t="str">
        <x:v>Basic cruise is not mapped to adaptive; remaining items unresolved.</x:v>
      </x:c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 t="str">
        <x:v>AST-000176</x:v>
      </x:c>
      <x:c r="B177" s="26" t="str">
        <x:v>EQUIPMENT_FACT</x:v>
      </x:c>
      <x:c r="C177" s="26" t="str">
        <x:v>EQP-000092</x:v>
      </x:c>
      <x:c r="D177" s="26" t="str">
        <x:v>SRC-000021</x:v>
      </x:c>
      <x:c r="E177" s="26" t="str">
        <x:v>Expression configurator</x:v>
      </x:c>
      <x:c r="F177" s="26" t="str">
        <x:v>MANUAL</x:v>
      </x:c>
      <x:c r="G177" s="26" t="str">
        <x:v>UNVERIFIED</x:v>
      </x:c>
      <x:c r="H177" s="26" t="str">
        <x:v>UNCERTAIN</x:v>
      </x:c>
      <x:c r="I177" s="36"/>
      <x:c r="J177" s="26" t="str">
        <x:v>ChatGPT/web research</x:v>
      </x:c>
      <x:c r="K177" s="26" t="str">
        <x:v>Basic cruise is not mapped to adaptive; remaining items unresolved.</x:v>
      </x:c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 t="str">
        <x:v>AST-000177</x:v>
      </x:c>
      <x:c r="B178" s="26" t="str">
        <x:v>EQUIPMENT_FACT</x:v>
      </x:c>
      <x:c r="C178" s="26" t="str">
        <x:v>EQP-000093</x:v>
      </x:c>
      <x:c r="D178" s="26" t="str">
        <x:v>SRC-000021</x:v>
      </x:c>
      <x:c r="E178" s="26" t="str">
        <x:v>Expression configurator</x:v>
      </x:c>
      <x:c r="F178" s="26" t="str">
        <x:v>MANUAL</x:v>
      </x:c>
      <x:c r="G178" s="26" t="str">
        <x:v>UNVERIFIED</x:v>
      </x:c>
      <x:c r="H178" s="26" t="str">
        <x:v>UNCERTAIN</x:v>
      </x:c>
      <x:c r="I178" s="36"/>
      <x:c r="J178" s="26" t="str">
        <x:v>ChatGPT/web research</x:v>
      </x:c>
      <x:c r="K178" s="26" t="str">
        <x:v>Basic cruise is not mapped to adaptive; remaining items unresolved.</x:v>
      </x:c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3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3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3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3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3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3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3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3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3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3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3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3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3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3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3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3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3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3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  <x:row r="502">
      <x:c r="A502" s="32"/>
      <x:c r="B502" s="32"/>
      <x:c r="C502" s="32"/>
      <x:c r="D502" s="32"/>
      <x:c r="E502" s="32"/>
      <x:c r="F502" s="32"/>
    </x:row>
    <x:row r="503">
      <x:c r="A503" s="32"/>
      <x:c r="B503" s="32"/>
      <x:c r="C503" s="32"/>
      <x:c r="D503" s="32"/>
      <x:c r="E503" s="32"/>
      <x:c r="F503" s="32"/>
    </x:row>
  </x:sheetData>
  <x:dataValidations count="4">
    <x:dataValidation type="list" sqref="B2:B500">
      <x:formula1>'12_LISTS'!$B$123:$B$125</x:formula1>
    </x:dataValidation>
    <x:dataValidation type="list" sqref="F2:F500">
      <x:formula1>'12_LISTS'!$B$126:$B$129</x:formula1>
    </x:dataValidation>
    <x:dataValidation type="list" sqref="G2:G500">
      <x:formula1>'12_LISTS'!$B$130:$B$133</x:formula1>
    </x:dataValidation>
    <x:dataValidation type="list" sqref="H2:H500">
      <x:formula1>'12_LISTS'!$B$93:$B$97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f18480a97d4ae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12" hidden="0" customWidth="1"/>
    <x:col min="5" max="5" width="20" hidden="0" customWidth="1"/>
    <x:col min="6" max="6" width="28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40" hidden="0" customWidth="1"/>
  </x:cols>
  <x:sheetData>
    <x:row r="1">
      <x:c r="A1" s="6" t="str">
        <x:v>queue_id</x:v>
      </x:c>
      <x:c r="B1" s="6" t="str">
        <x:v>subject_id</x:v>
      </x:c>
      <x:c r="C1" s="6" t="str">
        <x:v>fact_key</x:v>
      </x:c>
      <x:c r="D1" s="6" t="str">
        <x:v>priority</x:v>
      </x:c>
      <x:c r="E1" s="6" t="str">
        <x:v>collection_status</x:v>
      </x:c>
      <x:c r="F1" s="6" t="str">
        <x:v>preferred_source_type</x:v>
      </x:c>
      <x:c r="G1" s="6" t="str">
        <x:v>assigned_method</x:v>
      </x:c>
      <x:c r="H1" s="6" t="str">
        <x:v>attempt_count</x:v>
      </x:c>
      <x:c r="I1" s="6" t="str">
        <x:v>last_attempt_at</x:v>
      </x:c>
      <x:c r="J1" s="6" t="str">
        <x:v>result</x:v>
      </x:c>
      <x:c r="K1" s="6" t="str">
        <x:v>notes</x:v>
      </x:c>
    </x:row>
    <x:row r="2">
      <x:c r="A2" s="26" t="str">
        <x:v>QUE-000001</x:v>
      </x:c>
      <x:c r="B2" s="26" t="str">
        <x:v>CFG-000001</x:v>
      </x:c>
      <x:c r="C2" s="26" t="str">
        <x:v>identity_exact_configuration</x:v>
      </x:c>
      <x:c r="D2" s="26" t="str">
        <x:v>P0</x:v>
      </x:c>
      <x:c r="E2" s="26" t="str">
        <x:v>COMPLETE</x:v>
      </x:c>
      <x:c r="F2" s="26" t="str">
        <x:v>A1_OFFICIAL_MARKET</x:v>
      </x:c>
      <x:c r="G2" s="26" t="str">
        <x:v>WEB</x:v>
      </x:c>
      <x:c r="H2" s="26" t="n">
        <x:v>2</x:v>
      </x:c>
      <x:c r="I2" s="36" t="n">
        <x:v>46248</x:v>
      </x:c>
      <x:c r="J2" s="26" t="str">
        <x:v>FOUND</x:v>
      </x:c>
      <x:c r="K2" s="26" t="str">
        <x:v>P0 closure pass completed.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</x:row>
    <x:row r="3">
      <x:c r="A3" s="26" t="str">
        <x:v>QUE-000002</x:v>
      </x:c>
      <x:c r="B3" s="26" t="str">
        <x:v>CFG-000001</x:v>
      </x:c>
      <x:c r="C3" s="26" t="str">
        <x:v>dimensions_core</x:v>
      </x:c>
      <x:c r="D3" s="26" t="str">
        <x:v>P0</x:v>
      </x:c>
      <x:c r="E3" s="26" t="str">
        <x:v>COMPLETE</x:v>
      </x:c>
      <x:c r="F3" s="26" t="str">
        <x:v>A1_OFFICIAL_MARKET</x:v>
      </x:c>
      <x:c r="G3" s="26" t="str">
        <x:v>WEB</x:v>
      </x:c>
      <x:c r="H3" s="26" t="n">
        <x:v>2</x:v>
      </x:c>
      <x:c r="I3" s="36" t="n">
        <x:v>46248</x:v>
      </x:c>
      <x:c r="J3" s="26" t="str">
        <x:v>FOUND</x:v>
      </x:c>
      <x:c r="K3" s="26" t="str">
        <x:v>P0 closure pass completed.</x:v>
      </x:c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</x:row>
    <x:row r="4">
      <x:c r="A4" s="26" t="str">
        <x:v>QUE-000003</x:v>
      </x:c>
      <x:c r="B4" s="26" t="str">
        <x:v>CFG-000001</x:v>
      </x:c>
      <x:c r="C4" s="26" t="str">
        <x:v>cargo_volume_l</x:v>
      </x:c>
      <x:c r="D4" s="26" t="str">
        <x:v>P0</x:v>
      </x:c>
      <x:c r="E4" s="26" t="str">
        <x:v>COMPLETE</x:v>
      </x:c>
      <x:c r="F4" s="26" t="str">
        <x:v>A1_OFFICIAL_MARKET</x:v>
      </x:c>
      <x:c r="G4" s="26" t="str">
        <x:v>WEB</x:v>
      </x:c>
      <x:c r="H4" s="26" t="n">
        <x:v>2</x:v>
      </x:c>
      <x:c r="I4" s="36" t="n">
        <x:v>46248</x:v>
      </x:c>
      <x:c r="J4" s="26" t="str">
        <x:v>FOUND</x:v>
      </x:c>
      <x:c r="K4" s="26" t="str">
        <x:v>P0 closure pass completed.</x:v>
      </x:c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6" t="str">
        <x:v>QUE-000004</x:v>
      </x:c>
      <x:c r="B5" s="26" t="str">
        <x:v>CFG-000001</x:v>
      </x:c>
      <x:c r="C5" s="26" t="str">
        <x:v>ground_clearance_mm</x:v>
      </x:c>
      <x:c r="D5" s="26" t="str">
        <x:v>P0</x:v>
      </x:c>
      <x:c r="E5" s="26" t="str">
        <x:v>COMPLETE</x:v>
      </x:c>
      <x:c r="F5" s="26" t="str">
        <x:v>A1_OFFICIAL_MARKET</x:v>
      </x:c>
      <x:c r="G5" s="26" t="str">
        <x:v>WEB</x:v>
      </x:c>
      <x:c r="H5" s="26" t="n">
        <x:v>2</x:v>
      </x:c>
      <x:c r="I5" s="36" t="n">
        <x:v>46248</x:v>
      </x:c>
      <x:c r="J5" s="26" t="str">
        <x:v>FOUND</x:v>
      </x:c>
      <x:c r="K5" s="26" t="str">
        <x:v>P0 closure pass completed.</x:v>
      </x:c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6" t="str">
        <x:v>QUE-000005</x:v>
      </x:c>
      <x:c r="B6" s="26" t="str">
        <x:v>CFG-000001</x:v>
      </x:c>
      <x:c r="C6" s="26" t="str">
        <x:v>efficiency_or_range_core</x:v>
      </x:c>
      <x:c r="D6" s="26" t="str">
        <x:v>P0</x:v>
      </x:c>
      <x:c r="E6" s="26" t="str">
        <x:v>COMPLETE</x:v>
      </x:c>
      <x:c r="F6" s="26" t="str">
        <x:v>A1_OFFICIAL_MARKET</x:v>
      </x:c>
      <x:c r="G6" s="26" t="str">
        <x:v>WEB</x:v>
      </x:c>
      <x:c r="H6" s="26" t="n">
        <x:v>2</x:v>
      </x:c>
      <x:c r="I6" s="36" t="n">
        <x:v>46248</x:v>
      </x:c>
      <x:c r="J6" s="26" t="str">
        <x:v>FOUND</x:v>
      </x:c>
      <x:c r="K6" s="26" t="str">
        <x:v>P0 closure pass completed.</x:v>
      </x:c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6" t="str">
        <x:v>QUE-000006</x:v>
      </x:c>
      <x:c r="B7" s="26" t="str">
        <x:v>CFG-000001</x:v>
      </x:c>
      <x:c r="C7" s="26" t="str">
        <x:v>equipment_mvp_core</x:v>
      </x:c>
      <x:c r="D7" s="26" t="str">
        <x:v>P0</x:v>
      </x:c>
      <x:c r="E7" s="26" t="str">
        <x:v>COMPLETE</x:v>
      </x:c>
      <x:c r="F7" s="26" t="str">
        <x:v>A1_OFFICIAL_MARKET</x:v>
      </x:c>
      <x:c r="G7" s="26" t="str">
        <x:v>WEB</x:v>
      </x:c>
      <x:c r="H7" s="26" t="n">
        <x:v>2</x:v>
      </x:c>
      <x:c r="I7" s="36" t="n">
        <x:v>46248</x:v>
      </x:c>
      <x:c r="J7" s="26" t="str">
        <x:v>FOUND</x:v>
      </x:c>
      <x:c r="K7" s="26" t="str">
        <x:v>P0 closure pass completed.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 t="str">
        <x:v>QUE-000007</x:v>
      </x:c>
      <x:c r="B8" s="26" t="str">
        <x:v>CFG-000002</x:v>
      </x:c>
      <x:c r="C8" s="26" t="str">
        <x:v>identity_exact_configuration</x:v>
      </x:c>
      <x:c r="D8" s="26" t="str">
        <x:v>P0</x:v>
      </x:c>
      <x:c r="E8" s="26" t="str">
        <x:v>COMPLETE</x:v>
      </x:c>
      <x:c r="F8" s="26" t="str">
        <x:v>A1_OFFICIAL_MARKET</x:v>
      </x:c>
      <x:c r="G8" s="26" t="str">
        <x:v>WEB</x:v>
      </x:c>
      <x:c r="H8" s="26" t="n">
        <x:v>2</x:v>
      </x:c>
      <x:c r="I8" s="36" t="n">
        <x:v>46248</x:v>
      </x:c>
      <x:c r="J8" s="26" t="str">
        <x:v>FOUND</x:v>
      </x:c>
      <x:c r="K8" s="26" t="str">
        <x:v>Resolved by selecting exact current Easy 1.6 M.Jet 130 HP 6MT configuration.</x:v>
      </x:c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6" t="str">
        <x:v>QUE-000008</x:v>
      </x:c>
      <x:c r="B9" s="26" t="str">
        <x:v>CFG-000002</x:v>
      </x:c>
      <x:c r="C9" s="26" t="str">
        <x:v>dimensions_core</x:v>
      </x:c>
      <x:c r="D9" s="26" t="str">
        <x:v>P0</x:v>
      </x:c>
      <x:c r="E9" s="26" t="str">
        <x:v>COMPLETE</x:v>
      </x:c>
      <x:c r="F9" s="26" t="str">
        <x:v>A1_OFFICIAL_MARKET</x:v>
      </x:c>
      <x:c r="G9" s="26" t="str">
        <x:v>WEB</x:v>
      </x:c>
      <x:c r="H9" s="26" t="n">
        <x:v>2</x:v>
      </x:c>
      <x:c r="I9" s="36" t="n">
        <x:v>46248</x:v>
      </x:c>
      <x:c r="J9" s="26" t="str">
        <x:v>FOUND</x:v>
      </x:c>
      <x:c r="K9" s="26" t="str">
        <x:v>P0 closure pass completed.</x:v>
      </x:c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 t="str">
        <x:v>QUE-000009</x:v>
      </x:c>
      <x:c r="B10" s="26" t="str">
        <x:v>CFG-000002</x:v>
      </x:c>
      <x:c r="C10" s="26" t="str">
        <x:v>cargo_volume_l</x:v>
      </x:c>
      <x:c r="D10" s="26" t="str">
        <x:v>P0</x:v>
      </x:c>
      <x:c r="E10" s="26" t="str">
        <x:v>COMPLETE</x:v>
      </x:c>
      <x:c r="F10" s="26" t="str">
        <x:v>A1_OFFICIAL_MARKET</x:v>
      </x:c>
      <x:c r="G10" s="26" t="str">
        <x:v>WEB</x:v>
      </x:c>
      <x:c r="H10" s="26" t="n">
        <x:v>2</x:v>
      </x:c>
      <x:c r="I10" s="36" t="n">
        <x:v>46248</x:v>
      </x:c>
      <x:c r="J10" s="26" t="str">
        <x:v>FOUND</x:v>
      </x:c>
      <x:c r="K10" s="26" t="str">
        <x:v>P0 closure pass completed.</x:v>
      </x:c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6" t="str">
        <x:v>QUE-000010</x:v>
      </x:c>
      <x:c r="B11" s="26" t="str">
        <x:v>CFG-000002</x:v>
      </x:c>
      <x:c r="C11" s="26" t="str">
        <x:v>ground_clearance_mm</x:v>
      </x:c>
      <x:c r="D11" s="26" t="str">
        <x:v>P0</x:v>
      </x:c>
      <x:c r="E11" s="26" t="str">
        <x:v>COMPLETE</x:v>
      </x:c>
      <x:c r="F11" s="26" t="str">
        <x:v>A1_OFFICIAL_MARKET</x:v>
      </x:c>
      <x:c r="G11" s="26" t="str">
        <x:v>WEB</x:v>
      </x:c>
      <x:c r="H11" s="26" t="n">
        <x:v>2</x:v>
      </x:c>
      <x:c r="I11" s="36" t="n">
        <x:v>46248</x:v>
      </x:c>
      <x:c r="J11" s="26" t="str">
        <x:v>NOT_FOUND</x:v>
      </x:c>
      <x:c r="K11" s="26" t="str">
        <x:v>Official Turkey P0 sources searched; no authoritative value found. Kept UNKNOWN.</x:v>
      </x:c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6" t="str">
        <x:v>QUE-000011</x:v>
      </x:c>
      <x:c r="B12" s="26" t="str">
        <x:v>CFG-000002</x:v>
      </x:c>
      <x:c r="C12" s="26" t="str">
        <x:v>efficiency_or_range_core</x:v>
      </x:c>
      <x:c r="D12" s="26" t="str">
        <x:v>P0</x:v>
      </x:c>
      <x:c r="E12" s="26" t="str">
        <x:v>COMPLETE</x:v>
      </x:c>
      <x:c r="F12" s="26" t="str">
        <x:v>A1_OFFICIAL_MARKET</x:v>
      </x:c>
      <x:c r="G12" s="26" t="str">
        <x:v>WEB</x:v>
      </x:c>
      <x:c r="H12" s="26" t="n">
        <x:v>2</x:v>
      </x:c>
      <x:c r="I12" s="36" t="n">
        <x:v>46248</x:v>
      </x:c>
      <x:c r="J12" s="26" t="str">
        <x:v>NOT_FOUND</x:v>
      </x:c>
      <x:c r="K12" s="26" t="str">
        <x:v>Official Turkey P0 sources searched; no authoritative value found. Kept UNKNOWN.</x:v>
      </x:c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6" t="str">
        <x:v>QUE-000012</x:v>
      </x:c>
      <x:c r="B13" s="26" t="str">
        <x:v>CFG-000002</x:v>
      </x:c>
      <x:c r="C13" s="26" t="str">
        <x:v>equipment_mvp_core</x:v>
      </x:c>
      <x:c r="D13" s="26" t="str">
        <x:v>P0</x:v>
      </x:c>
      <x:c r="E13" s="26" t="str">
        <x:v>COMPLETE</x:v>
      </x:c>
      <x:c r="F13" s="26" t="str">
        <x:v>A1_OFFICIAL_MARKET</x:v>
      </x:c>
      <x:c r="G13" s="26" t="str">
        <x:v>WEB</x:v>
      </x:c>
      <x:c r="H13" s="26" t="n">
        <x:v>2</x:v>
      </x:c>
      <x:c r="I13" s="36" t="n">
        <x:v>46248</x:v>
      </x:c>
      <x:c r="J13" s="26" t="str">
        <x:v>FOUND</x:v>
      </x:c>
      <x:c r="K13" s="26" t="str">
        <x:v>P0 closure pass completed.</x:v>
      </x:c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6" t="str">
        <x:v>QUE-000013</x:v>
      </x:c>
      <x:c r="B14" s="26" t="str">
        <x:v>CFG-000003</x:v>
      </x:c>
      <x:c r="C14" s="26" t="str">
        <x:v>identity_exact_configuration</x:v>
      </x:c>
      <x:c r="D14" s="26" t="str">
        <x:v>P0</x:v>
      </x:c>
      <x:c r="E14" s="26" t="str">
        <x:v>COMPLETE</x:v>
      </x:c>
      <x:c r="F14" s="26" t="str">
        <x:v>A1_OFFICIAL_MARKET</x:v>
      </x:c>
      <x:c r="G14" s="26" t="str">
        <x:v>WEB</x:v>
      </x:c>
      <x:c r="H14" s="26" t="n">
        <x:v>2</x:v>
      </x:c>
      <x:c r="I14" s="36" t="n">
        <x:v>46248</x:v>
      </x:c>
      <x:c r="J14" s="26" t="str">
        <x:v>FOUND</x:v>
      </x:c>
      <x:c r="K14" s="26" t="str">
        <x:v>P0 closure pass completed.</x:v>
      </x:c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6" t="str">
        <x:v>QUE-000014</x:v>
      </x:c>
      <x:c r="B15" s="26" t="str">
        <x:v>CFG-000003</x:v>
      </x:c>
      <x:c r="C15" s="26" t="str">
        <x:v>dimensions_core</x:v>
      </x:c>
      <x:c r="D15" s="26" t="str">
        <x:v>P0</x:v>
      </x:c>
      <x:c r="E15" s="26" t="str">
        <x:v>COMPLETE</x:v>
      </x:c>
      <x:c r="F15" s="26" t="str">
        <x:v>A1_OFFICIAL_MARKET</x:v>
      </x:c>
      <x:c r="G15" s="26" t="str">
        <x:v>WEB</x:v>
      </x:c>
      <x:c r="H15" s="26" t="n">
        <x:v>2</x:v>
      </x:c>
      <x:c r="I15" s="36" t="n">
        <x:v>46248</x:v>
      </x:c>
      <x:c r="J15" s="26" t="str">
        <x:v>FOUND</x:v>
      </x:c>
      <x:c r="K15" s="26" t="str">
        <x:v>P0 closure pass completed.</x:v>
      </x:c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6" t="str">
        <x:v>QUE-000015</x:v>
      </x:c>
      <x:c r="B16" s="26" t="str">
        <x:v>CFG-000003</x:v>
      </x:c>
      <x:c r="C16" s="26" t="str">
        <x:v>cargo_volume_l</x:v>
      </x:c>
      <x:c r="D16" s="26" t="str">
        <x:v>P0</x:v>
      </x:c>
      <x:c r="E16" s="26" t="str">
        <x:v>COMPLETE</x:v>
      </x:c>
      <x:c r="F16" s="26" t="str">
        <x:v>A1_OFFICIAL_MARKET</x:v>
      </x:c>
      <x:c r="G16" s="26" t="str">
        <x:v>WEB</x:v>
      </x:c>
      <x:c r="H16" s="26" t="n">
        <x:v>2</x:v>
      </x:c>
      <x:c r="I16" s="36" t="n">
        <x:v>46248</x:v>
      </x:c>
      <x:c r="J16" s="26" t="str">
        <x:v>FOUND</x:v>
      </x:c>
      <x:c r="K16" s="26" t="str">
        <x:v>P0 closure pass completed.</x:v>
      </x:c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6" t="str">
        <x:v>QUE-000016</x:v>
      </x:c>
      <x:c r="B17" s="26" t="str">
        <x:v>CFG-000003</x:v>
      </x:c>
      <x:c r="C17" s="26" t="str">
        <x:v>ground_clearance_mm</x:v>
      </x:c>
      <x:c r="D17" s="26" t="str">
        <x:v>P0</x:v>
      </x:c>
      <x:c r="E17" s="26" t="str">
        <x:v>COMPLETE</x:v>
      </x:c>
      <x:c r="F17" s="26" t="str">
        <x:v>A1_OFFICIAL_MARKET</x:v>
      </x:c>
      <x:c r="G17" s="26" t="str">
        <x:v>WEB</x:v>
      </x:c>
      <x:c r="H17" s="26" t="n">
        <x:v>2</x:v>
      </x:c>
      <x:c r="I17" s="36" t="n">
        <x:v>46248</x:v>
      </x:c>
      <x:c r="J17" s="26" t="str">
        <x:v>NOT_FOUND</x:v>
      </x:c>
      <x:c r="K17" s="26" t="str">
        <x:v>No official Turkey ground-clearance value found; kept UNKNOWN.</x:v>
      </x:c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6" t="str">
        <x:v>QUE-000017</x:v>
      </x:c>
      <x:c r="B18" s="26" t="str">
        <x:v>CFG-000003</x:v>
      </x:c>
      <x:c r="C18" s="26" t="str">
        <x:v>efficiency_or_range_core</x:v>
      </x:c>
      <x:c r="D18" s="26" t="str">
        <x:v>P0</x:v>
      </x:c>
      <x:c r="E18" s="26" t="str">
        <x:v>COMPLETE</x:v>
      </x:c>
      <x:c r="F18" s="26" t="str">
        <x:v>A1_OFFICIAL_MARKET</x:v>
      </x:c>
      <x:c r="G18" s="26" t="str">
        <x:v>WEB</x:v>
      </x:c>
      <x:c r="H18" s="26" t="n">
        <x:v>2</x:v>
      </x:c>
      <x:c r="I18" s="36" t="n">
        <x:v>46248</x:v>
      </x:c>
      <x:c r="J18" s="26" t="str">
        <x:v>FOUND</x:v>
      </x:c>
      <x:c r="K18" s="26" t="str">
        <x:v>P0 closure pass completed.</x:v>
      </x:c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6" t="str">
        <x:v>QUE-000018</x:v>
      </x:c>
      <x:c r="B19" s="26" t="str">
        <x:v>CFG-000003</x:v>
      </x:c>
      <x:c r="C19" s="26" t="str">
        <x:v>equipment_mvp_core</x:v>
      </x:c>
      <x:c r="D19" s="26" t="str">
        <x:v>P0</x:v>
      </x:c>
      <x:c r="E19" s="26" t="str">
        <x:v>COMPLETE</x:v>
      </x:c>
      <x:c r="F19" s="26" t="str">
        <x:v>A1_OFFICIAL_MARKET</x:v>
      </x:c>
      <x:c r="G19" s="26" t="str">
        <x:v>WEB</x:v>
      </x:c>
      <x:c r="H19" s="26" t="n">
        <x:v>2</x:v>
      </x:c>
      <x:c r="I19" s="36" t="n">
        <x:v>46248</x:v>
      </x:c>
      <x:c r="J19" s="26" t="str">
        <x:v>FOUND</x:v>
      </x:c>
      <x:c r="K19" s="26" t="str">
        <x:v>P0 closure pass completed.</x:v>
      </x:c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 t="str">
        <x:v>QUE-000019</x:v>
      </x:c>
      <x:c r="B20" s="26" t="str">
        <x:v>CFG-000004</x:v>
      </x:c>
      <x:c r="C20" s="26" t="str">
        <x:v>identity_exact_configuration</x:v>
      </x:c>
      <x:c r="D20" s="26" t="str">
        <x:v>P0</x:v>
      </x:c>
      <x:c r="E20" s="26" t="str">
        <x:v>COMPLETE</x:v>
      </x:c>
      <x:c r="F20" s="26" t="str">
        <x:v>A1_OFFICIAL_MARKET</x:v>
      </x:c>
      <x:c r="G20" s="26" t="str">
        <x:v>WEB</x:v>
      </x:c>
      <x:c r="H20" s="26" t="n">
        <x:v>2</x:v>
      </x:c>
      <x:c r="I20" s="36" t="n">
        <x:v>46248</x:v>
      </x:c>
      <x:c r="J20" s="26" t="str">
        <x:v>FOUND</x:v>
      </x:c>
      <x:c r="K20" s="26" t="str">
        <x:v>P0 closure pass completed.</x:v>
      </x:c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6" t="str">
        <x:v>QUE-000020</x:v>
      </x:c>
      <x:c r="B21" s="26" t="str">
        <x:v>CFG-000004</x:v>
      </x:c>
      <x:c r="C21" s="26" t="str">
        <x:v>dimensions_core</x:v>
      </x:c>
      <x:c r="D21" s="26" t="str">
        <x:v>P0</x:v>
      </x:c>
      <x:c r="E21" s="26" t="str">
        <x:v>COMPLETE</x:v>
      </x:c>
      <x:c r="F21" s="26" t="str">
        <x:v>A1_OFFICIAL_MARKET</x:v>
      </x:c>
      <x:c r="G21" s="26" t="str">
        <x:v>WEB</x:v>
      </x:c>
      <x:c r="H21" s="26" t="n">
        <x:v>2</x:v>
      </x:c>
      <x:c r="I21" s="36" t="n">
        <x:v>46248</x:v>
      </x:c>
      <x:c r="J21" s="26" t="str">
        <x:v>FOUND</x:v>
      </x:c>
      <x:c r="K21" s="26" t="str">
        <x:v>P0 closure pass completed.</x:v>
      </x:c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 t="str">
        <x:v>QUE-000021</x:v>
      </x:c>
      <x:c r="B22" s="26" t="str">
        <x:v>CFG-000004</x:v>
      </x:c>
      <x:c r="C22" s="26" t="str">
        <x:v>cargo_volume_l</x:v>
      </x:c>
      <x:c r="D22" s="26" t="str">
        <x:v>P0</x:v>
      </x:c>
      <x:c r="E22" s="26" t="str">
        <x:v>COMPLETE</x:v>
      </x:c>
      <x:c r="F22" s="26" t="str">
        <x:v>A1_OFFICIAL_MARKET</x:v>
      </x:c>
      <x:c r="G22" s="26" t="str">
        <x:v>WEB</x:v>
      </x:c>
      <x:c r="H22" s="26" t="n">
        <x:v>2</x:v>
      </x:c>
      <x:c r="I22" s="36" t="n">
        <x:v>46248</x:v>
      </x:c>
      <x:c r="J22" s="26" t="str">
        <x:v>FOUND</x:v>
      </x:c>
      <x:c r="K22" s="26" t="str">
        <x:v>P0 closure pass completed.</x:v>
      </x:c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6" t="str">
        <x:v>QUE-000022</x:v>
      </x:c>
      <x:c r="B23" s="26" t="str">
        <x:v>CFG-000004</x:v>
      </x:c>
      <x:c r="C23" s="26" t="str">
        <x:v>ground_clearance_mm</x:v>
      </x:c>
      <x:c r="D23" s="26" t="str">
        <x:v>P0</x:v>
      </x:c>
      <x:c r="E23" s="26" t="str">
        <x:v>COMPLETE</x:v>
      </x:c>
      <x:c r="F23" s="26" t="str">
        <x:v>A1_OFFICIAL_MARKET</x:v>
      </x:c>
      <x:c r="G23" s="26" t="str">
        <x:v>WEB</x:v>
      </x:c>
      <x:c r="H23" s="26" t="n">
        <x:v>2</x:v>
      </x:c>
      <x:c r="I23" s="36" t="n">
        <x:v>46248</x:v>
      </x:c>
      <x:c r="J23" s="26" t="str">
        <x:v>FOUND</x:v>
      </x:c>
      <x:c r="K23" s="26" t="str">
        <x:v>P0 closure pass completed.</x:v>
      </x:c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 t="str">
        <x:v>QUE-000023</x:v>
      </x:c>
      <x:c r="B24" s="26" t="str">
        <x:v>CFG-000004</x:v>
      </x:c>
      <x:c r="C24" s="26" t="str">
        <x:v>efficiency_or_range_core</x:v>
      </x:c>
      <x:c r="D24" s="26" t="str">
        <x:v>P0</x:v>
      </x:c>
      <x:c r="E24" s="26" t="str">
        <x:v>COMPLETE</x:v>
      </x:c>
      <x:c r="F24" s="26" t="str">
        <x:v>A1_OFFICIAL_MARKET</x:v>
      </x:c>
      <x:c r="G24" s="26" t="str">
        <x:v>WEB</x:v>
      </x:c>
      <x:c r="H24" s="26" t="n">
        <x:v>2</x:v>
      </x:c>
      <x:c r="I24" s="36" t="n">
        <x:v>46248</x:v>
      </x:c>
      <x:c r="J24" s="26" t="str">
        <x:v>FOUND</x:v>
      </x:c>
      <x:c r="K24" s="26" t="str">
        <x:v>P0 closure pass completed.</x:v>
      </x:c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6" t="str">
        <x:v>QUE-000024</x:v>
      </x:c>
      <x:c r="B25" s="26" t="str">
        <x:v>CFG-000004</x:v>
      </x:c>
      <x:c r="C25" s="26" t="str">
        <x:v>equipment_mvp_core</x:v>
      </x:c>
      <x:c r="D25" s="26" t="str">
        <x:v>P0</x:v>
      </x:c>
      <x:c r="E25" s="26" t="str">
        <x:v>COMPLETE</x:v>
      </x:c>
      <x:c r="F25" s="26" t="str">
        <x:v>A1_OFFICIAL_MARKET</x:v>
      </x:c>
      <x:c r="G25" s="26" t="str">
        <x:v>WEB</x:v>
      </x:c>
      <x:c r="H25" s="26" t="n">
        <x:v>2</x:v>
      </x:c>
      <x:c r="I25" s="36" t="n">
        <x:v>46248</x:v>
      </x:c>
      <x:c r="J25" s="26" t="str">
        <x:v>FOUND</x:v>
      </x:c>
      <x:c r="K25" s="26" t="str">
        <x:v>P0 closure pass completed.</x:v>
      </x:c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6" t="str">
        <x:v>QUE-000025</x:v>
      </x:c>
      <x:c r="B26" s="26" t="str">
        <x:v>CFG-000005</x:v>
      </x:c>
      <x:c r="C26" s="26" t="str">
        <x:v>identity_exact_configuration</x:v>
      </x:c>
      <x:c r="D26" s="26" t="str">
        <x:v>P0</x:v>
      </x:c>
      <x:c r="E26" s="26" t="str">
        <x:v>COMPLETE</x:v>
      </x:c>
      <x:c r="F26" s="26" t="str">
        <x:v>A1_OFFICIAL_MARKET</x:v>
      </x:c>
      <x:c r="G26" s="26" t="str">
        <x:v>WEB</x:v>
      </x:c>
      <x:c r="H26" s="26" t="n">
        <x:v>2</x:v>
      </x:c>
      <x:c r="I26" s="36" t="n">
        <x:v>46248</x:v>
      </x:c>
      <x:c r="J26" s="26" t="str">
        <x:v>FOUND</x:v>
      </x:c>
      <x:c r="K26" s="26" t="str">
        <x:v>P0 closure pass completed.</x:v>
      </x:c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6" t="str">
        <x:v>QUE-000026</x:v>
      </x:c>
      <x:c r="B27" s="26" t="str">
        <x:v>CFG-000005</x:v>
      </x:c>
      <x:c r="C27" s="26" t="str">
        <x:v>dimensions_core</x:v>
      </x:c>
      <x:c r="D27" s="26" t="str">
        <x:v>P0</x:v>
      </x:c>
      <x:c r="E27" s="26" t="str">
        <x:v>COMPLETE</x:v>
      </x:c>
      <x:c r="F27" s="26" t="str">
        <x:v>A1_OFFICIAL_MARKET</x:v>
      </x:c>
      <x:c r="G27" s="26" t="str">
        <x:v>WEB</x:v>
      </x:c>
      <x:c r="H27" s="26" t="n">
        <x:v>2</x:v>
      </x:c>
      <x:c r="I27" s="36" t="n">
        <x:v>46248</x:v>
      </x:c>
      <x:c r="J27" s="26" t="str">
        <x:v>FOUND</x:v>
      </x:c>
      <x:c r="K27" s="26" t="str">
        <x:v>P0 closure pass completed.</x:v>
      </x:c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6" t="str">
        <x:v>QUE-000027</x:v>
      </x:c>
      <x:c r="B28" s="26" t="str">
        <x:v>CFG-000005</x:v>
      </x:c>
      <x:c r="C28" s="26" t="str">
        <x:v>cargo_volume_l</x:v>
      </x:c>
      <x:c r="D28" s="26" t="str">
        <x:v>P0</x:v>
      </x:c>
      <x:c r="E28" s="26" t="str">
        <x:v>COMPLETE</x:v>
      </x:c>
      <x:c r="F28" s="26" t="str">
        <x:v>A1_OFFICIAL_MARKET</x:v>
      </x:c>
      <x:c r="G28" s="26" t="str">
        <x:v>WEB</x:v>
      </x:c>
      <x:c r="H28" s="26" t="n">
        <x:v>2</x:v>
      </x:c>
      <x:c r="I28" s="36" t="n">
        <x:v>46248</x:v>
      </x:c>
      <x:c r="J28" s="26" t="str">
        <x:v>FOUND</x:v>
      </x:c>
      <x:c r="K28" s="26" t="str">
        <x:v>P0 closure pass completed.</x:v>
      </x:c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6" t="str">
        <x:v>QUE-000028</x:v>
      </x:c>
      <x:c r="B29" s="26" t="str">
        <x:v>CFG-000005</x:v>
      </x:c>
      <x:c r="C29" s="26" t="str">
        <x:v>ground_clearance_mm</x:v>
      </x:c>
      <x:c r="D29" s="26" t="str">
        <x:v>P0</x:v>
      </x:c>
      <x:c r="E29" s="26" t="str">
        <x:v>COMPLETE</x:v>
      </x:c>
      <x:c r="F29" s="26" t="str">
        <x:v>A1_OFFICIAL_MARKET</x:v>
      </x:c>
      <x:c r="G29" s="26" t="str">
        <x:v>WEB</x:v>
      </x:c>
      <x:c r="H29" s="26" t="n">
        <x:v>2</x:v>
      </x:c>
      <x:c r="I29" s="36" t="n">
        <x:v>46248</x:v>
      </x:c>
      <x:c r="J29" s="26" t="str">
        <x:v>NOT_FOUND</x:v>
      </x:c>
      <x:c r="K29" s="26" t="str">
        <x:v>No official BYD Turkey ground-clearance value found; kept UNKNOWN.</x:v>
      </x:c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6" t="str">
        <x:v>QUE-000029</x:v>
      </x:c>
      <x:c r="B30" s="26" t="str">
        <x:v>CFG-000005</x:v>
      </x:c>
      <x:c r="C30" s="26" t="str">
        <x:v>efficiency_or_range_core</x:v>
      </x:c>
      <x:c r="D30" s="26" t="str">
        <x:v>P0</x:v>
      </x:c>
      <x:c r="E30" s="26" t="str">
        <x:v>COMPLETE</x:v>
      </x:c>
      <x:c r="F30" s="26" t="str">
        <x:v>A1_OFFICIAL_MARKET</x:v>
      </x:c>
      <x:c r="G30" s="26" t="str">
        <x:v>WEB</x:v>
      </x:c>
      <x:c r="H30" s="26" t="n">
        <x:v>2</x:v>
      </x:c>
      <x:c r="I30" s="36" t="n">
        <x:v>46248</x:v>
      </x:c>
      <x:c r="J30" s="26" t="str">
        <x:v>FOUND</x:v>
      </x:c>
      <x:c r="K30" s="26" t="str">
        <x:v>P0 closure pass completed.</x:v>
      </x:c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6" t="str">
        <x:v>QUE-000030</x:v>
      </x:c>
      <x:c r="B31" s="26" t="str">
        <x:v>CFG-000005</x:v>
      </x:c>
      <x:c r="C31" s="26" t="str">
        <x:v>equipment_mvp_core</x:v>
      </x:c>
      <x:c r="D31" s="26" t="str">
        <x:v>P0</x:v>
      </x:c>
      <x:c r="E31" s="26" t="str">
        <x:v>COMPLETE</x:v>
      </x:c>
      <x:c r="F31" s="26" t="str">
        <x:v>A1_OFFICIAL_MARKET</x:v>
      </x:c>
      <x:c r="G31" s="26" t="str">
        <x:v>WEB</x:v>
      </x:c>
      <x:c r="H31" s="26" t="n">
        <x:v>2</x:v>
      </x:c>
      <x:c r="I31" s="36" t="n">
        <x:v>46248</x:v>
      </x:c>
      <x:c r="J31" s="26" t="str">
        <x:v>FOUND</x:v>
      </x:c>
      <x:c r="K31" s="26" t="str">
        <x:v>P0 closure pass completed.</x:v>
      </x:c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6" t="str">
        <x:v>QUE-000031</x:v>
      </x:c>
      <x:c r="B32" s="26" t="str">
        <x:v>CFG-000006</x:v>
      </x:c>
      <x:c r="C32" s="26" t="str">
        <x:v>identity_exact_configuration</x:v>
      </x:c>
      <x:c r="D32" s="26" t="str">
        <x:v>P0</x:v>
      </x:c>
      <x:c r="E32" s="26" t="str">
        <x:v>COMPLETE</x:v>
      </x:c>
      <x:c r="F32" s="26" t="str">
        <x:v>A1_OFFICIAL_MARKET</x:v>
      </x:c>
      <x:c r="G32" s="26" t="str">
        <x:v>WEB</x:v>
      </x:c>
      <x:c r="H32" s="26" t="n">
        <x:v>2</x:v>
      </x:c>
      <x:c r="I32" s="36" t="n">
        <x:v>46248</x:v>
      </x:c>
      <x:c r="J32" s="26" t="str">
        <x:v>FOUND</x:v>
      </x:c>
      <x:c r="K32" s="26" t="str">
        <x:v>P0 closure pass completed.</x:v>
      </x:c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6" t="str">
        <x:v>QUE-000032</x:v>
      </x:c>
      <x:c r="B33" s="26" t="str">
        <x:v>CFG-000006</x:v>
      </x:c>
      <x:c r="C33" s="26" t="str">
        <x:v>dimensions_core</x:v>
      </x:c>
      <x:c r="D33" s="26" t="str">
        <x:v>P0</x:v>
      </x:c>
      <x:c r="E33" s="26" t="str">
        <x:v>COMPLETE</x:v>
      </x:c>
      <x:c r="F33" s="26" t="str">
        <x:v>A1_OFFICIAL_MARKET</x:v>
      </x:c>
      <x:c r="G33" s="26" t="str">
        <x:v>WEB</x:v>
      </x:c>
      <x:c r="H33" s="26" t="n">
        <x:v>2</x:v>
      </x:c>
      <x:c r="I33" s="36" t="n">
        <x:v>46248</x:v>
      </x:c>
      <x:c r="J33" s="26" t="str">
        <x:v>FOUND</x:v>
      </x:c>
      <x:c r="K33" s="26" t="str">
        <x:v>P0 closure pass completed.</x:v>
      </x:c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 t="str">
        <x:v>QUE-000033</x:v>
      </x:c>
      <x:c r="B34" s="26" t="str">
        <x:v>CFG-000006</x:v>
      </x:c>
      <x:c r="C34" s="26" t="str">
        <x:v>cargo_volume_l</x:v>
      </x:c>
      <x:c r="D34" s="26" t="str">
        <x:v>P0</x:v>
      </x:c>
      <x:c r="E34" s="26" t="str">
        <x:v>COMPLETE</x:v>
      </x:c>
      <x:c r="F34" s="26" t="str">
        <x:v>A1_OFFICIAL_MARKET</x:v>
      </x:c>
      <x:c r="G34" s="26" t="str">
        <x:v>WEB</x:v>
      </x:c>
      <x:c r="H34" s="26" t="n">
        <x:v>2</x:v>
      </x:c>
      <x:c r="I34" s="36" t="n">
        <x:v>46248</x:v>
      </x:c>
      <x:c r="J34" s="26" t="str">
        <x:v>FOUND</x:v>
      </x:c>
      <x:c r="K34" s="26" t="str">
        <x:v>P0 closure pass completed.</x:v>
      </x:c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6" t="str">
        <x:v>QUE-000034</x:v>
      </x:c>
      <x:c r="B35" s="26" t="str">
        <x:v>CFG-000006</x:v>
      </x:c>
      <x:c r="C35" s="26" t="str">
        <x:v>ground_clearance_mm</x:v>
      </x:c>
      <x:c r="D35" s="26" t="str">
        <x:v>P0</x:v>
      </x:c>
      <x:c r="E35" s="26" t="str">
        <x:v>COMPLETE</x:v>
      </x:c>
      <x:c r="F35" s="26" t="str">
        <x:v>A1_OFFICIAL_MARKET</x:v>
      </x:c>
      <x:c r="G35" s="26" t="str">
        <x:v>WEB</x:v>
      </x:c>
      <x:c r="H35" s="26" t="n">
        <x:v>2</x:v>
      </x:c>
      <x:c r="I35" s="36" t="n">
        <x:v>46248</x:v>
      </x:c>
      <x:c r="J35" s="26" t="str">
        <x:v>FOUND</x:v>
      </x:c>
      <x:c r="K35" s="26" t="str">
        <x:v>P0 closure pass completed.</x:v>
      </x:c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 t="str">
        <x:v>QUE-000035</x:v>
      </x:c>
      <x:c r="B36" s="26" t="str">
        <x:v>CFG-000006</x:v>
      </x:c>
      <x:c r="C36" s="26" t="str">
        <x:v>efficiency_or_range_core</x:v>
      </x:c>
      <x:c r="D36" s="26" t="str">
        <x:v>P0</x:v>
      </x:c>
      <x:c r="E36" s="26" t="str">
        <x:v>COMPLETE</x:v>
      </x:c>
      <x:c r="F36" s="26" t="str">
        <x:v>A1_OFFICIAL_MARKET</x:v>
      </x:c>
      <x:c r="G36" s="26" t="str">
        <x:v>WEB</x:v>
      </x:c>
      <x:c r="H36" s="26" t="n">
        <x:v>2</x:v>
      </x:c>
      <x:c r="I36" s="36" t="n">
        <x:v>46248</x:v>
      </x:c>
      <x:c r="J36" s="26" t="str">
        <x:v>FOUND</x:v>
      </x:c>
      <x:c r="K36" s="26" t="str">
        <x:v>P0 closure pass completed.</x:v>
      </x:c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 t="str">
        <x:v>QUE-000036</x:v>
      </x:c>
      <x:c r="B37" s="26" t="str">
        <x:v>CFG-000006</x:v>
      </x:c>
      <x:c r="C37" s="26" t="str">
        <x:v>equipment_mvp_core</x:v>
      </x:c>
      <x:c r="D37" s="26" t="str">
        <x:v>P0</x:v>
      </x:c>
      <x:c r="E37" s="26" t="str">
        <x:v>COMPLETE</x:v>
      </x:c>
      <x:c r="F37" s="26" t="str">
        <x:v>A1_OFFICIAL_MARKET</x:v>
      </x:c>
      <x:c r="G37" s="26" t="str">
        <x:v>WEB</x:v>
      </x:c>
      <x:c r="H37" s="26" t="n">
        <x:v>2</x:v>
      </x:c>
      <x:c r="I37" s="36" t="n">
        <x:v>46248</x:v>
      </x:c>
      <x:c r="J37" s="26" t="str">
        <x:v>FOUND</x:v>
      </x:c>
      <x:c r="K37" s="26" t="str">
        <x:v>P0 closure pass completed.</x:v>
      </x:c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6" t="str">
        <x:v>QUE-000037</x:v>
      </x:c>
      <x:c r="B38" s="26" t="str">
        <x:v>CFG-000007</x:v>
      </x:c>
      <x:c r="C38" s="26" t="str">
        <x:v>identity_exact_configuration</x:v>
      </x:c>
      <x:c r="D38" s="26" t="str">
        <x:v>P0</x:v>
      </x:c>
      <x:c r="E38" s="26" t="str">
        <x:v>IN_PROGRESS</x:v>
      </x:c>
      <x:c r="F38" s="26" t="str">
        <x:v>A1_OFFICIAL_MARKET</x:v>
      </x:c>
      <x:c r="G38" s="26" t="str">
        <x:v>WEB</x:v>
      </x:c>
      <x:c r="H38" s="26" t="n">
        <x:v>2</x:v>
      </x:c>
      <x:c r="I38" s="36" t="n">
        <x:v>46248</x:v>
      </x:c>
      <x:c r="J38" s="26" t="str">
        <x:v>PENDING</x:v>
      </x:c>
      <x:c r="K38" s="26" t="str">
        <x:v>Togg closure retracted: exact generation/configuration applicability remains UNVERIFIED/PARTIAL.</x:v>
      </x:c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 t="str">
        <x:v>QUE-000038</x:v>
      </x:c>
      <x:c r="B39" s="26" t="str">
        <x:v>CFG-000007</x:v>
      </x:c>
      <x:c r="C39" s="26" t="str">
        <x:v>dimensions_core</x:v>
      </x:c>
      <x:c r="D39" s="26" t="str">
        <x:v>P0</x:v>
      </x:c>
      <x:c r="E39" s="26" t="str">
        <x:v>COMPLETE</x:v>
      </x:c>
      <x:c r="F39" s="26" t="str">
        <x:v>A1_OFFICIAL_MARKET</x:v>
      </x:c>
      <x:c r="G39" s="26" t="str">
        <x:v>WEB</x:v>
      </x:c>
      <x:c r="H39" s="26" t="n">
        <x:v>2</x:v>
      </x:c>
      <x:c r="I39" s="36" t="n">
        <x:v>46248</x:v>
      </x:c>
      <x:c r="J39" s="26" t="str">
        <x:v>NOT_FOUND</x:v>
      </x:c>
      <x:c r="K39" s="26" t="str">
        <x:v>No current official Turkey dimensions set safely located in closure pass; kept UNKNOWN.</x:v>
      </x:c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 t="str">
        <x:v>QUE-000039</x:v>
      </x:c>
      <x:c r="B40" s="26" t="str">
        <x:v>CFG-000007</x:v>
      </x:c>
      <x:c r="C40" s="26" t="str">
        <x:v>cargo_volume_l</x:v>
      </x:c>
      <x:c r="D40" s="26" t="str">
        <x:v>P0</x:v>
      </x:c>
      <x:c r="E40" s="26" t="str">
        <x:v>COMPLETE</x:v>
      </x:c>
      <x:c r="F40" s="26" t="str">
        <x:v>A1_OFFICIAL_MARKET</x:v>
      </x:c>
      <x:c r="G40" s="26" t="str">
        <x:v>WEB</x:v>
      </x:c>
      <x:c r="H40" s="26" t="n">
        <x:v>2</x:v>
      </x:c>
      <x:c r="I40" s="36" t="n">
        <x:v>46248</x:v>
      </x:c>
      <x:c r="J40" s="26" t="str">
        <x:v>FOUND</x:v>
      </x:c>
      <x:c r="K40" s="26" t="str">
        <x:v>505 L verified from official T10X V2 Media Center.</x:v>
      </x:c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6" t="str">
        <x:v>QUE-000040</x:v>
      </x:c>
      <x:c r="B41" s="26" t="str">
        <x:v>CFG-000007</x:v>
      </x:c>
      <x:c r="C41" s="26" t="str">
        <x:v>ground_clearance_mm</x:v>
      </x:c>
      <x:c r="D41" s="26" t="str">
        <x:v>P0</x:v>
      </x:c>
      <x:c r="E41" s="26" t="str">
        <x:v>COMPLETE</x:v>
      </x:c>
      <x:c r="F41" s="26" t="str">
        <x:v>A1_OFFICIAL_MARKET</x:v>
      </x:c>
      <x:c r="G41" s="26" t="str">
        <x:v>WEB</x:v>
      </x:c>
      <x:c r="H41" s="26" t="n">
        <x:v>2</x:v>
      </x:c>
      <x:c r="I41" s="36" t="n">
        <x:v>46248</x:v>
      </x:c>
      <x:c r="J41" s="26" t="str">
        <x:v>NOT_FOUND</x:v>
      </x:c>
      <x:c r="K41" s="26" t="str">
        <x:v>No current official Turkey ground-clearance value found; kept UNKNOWN.</x:v>
      </x:c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 t="str">
        <x:v>QUE-000041</x:v>
      </x:c>
      <x:c r="B42" s="26" t="str">
        <x:v>CFG-000007</x:v>
      </x:c>
      <x:c r="C42" s="26" t="str">
        <x:v>efficiency_or_range_core</x:v>
      </x:c>
      <x:c r="D42" s="26" t="str">
        <x:v>P0</x:v>
      </x:c>
      <x:c r="E42" s="26" t="str">
        <x:v>COMPLETE</x:v>
      </x:c>
      <x:c r="F42" s="26" t="str">
        <x:v>A1_OFFICIAL_MARKET</x:v>
      </x:c>
      <x:c r="G42" s="26" t="str">
        <x:v>WEB</x:v>
      </x:c>
      <x:c r="H42" s="26" t="n">
        <x:v>2</x:v>
      </x:c>
      <x:c r="I42" s="36" t="n">
        <x:v>46248</x:v>
      </x:c>
      <x:c r="J42" s="26" t="str">
        <x:v>FOUND</x:v>
      </x:c>
      <x:c r="K42" s="26" t="str">
        <x:v>610 km combined WLTP (18-inch) verified for T10X V2; generic 523 km figure retained separately as non-exact.</x:v>
      </x:c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 t="str">
        <x:v>QUE-000042</x:v>
      </x:c>
      <x:c r="B43" s="26" t="str">
        <x:v>CFG-000007</x:v>
      </x:c>
      <x:c r="C43" s="26" t="str">
        <x:v>equipment_mvp_core</x:v>
      </x:c>
      <x:c r="D43" s="26" t="str">
        <x:v>P0</x:v>
      </x:c>
      <x:c r="E43" s="26" t="str">
        <x:v>COMPLETE</x:v>
      </x:c>
      <x:c r="F43" s="26" t="str">
        <x:v>A1_OFFICIAL_MARKET</x:v>
      </x:c>
      <x:c r="G43" s="26" t="str">
        <x:v>WEB</x:v>
      </x:c>
      <x:c r="H43" s="26" t="n">
        <x:v>2</x:v>
      </x:c>
      <x:c r="I43" s="36" t="n">
        <x:v>46248</x:v>
      </x:c>
      <x:c r="J43" s="26" t="str">
        <x:v>FOUND</x:v>
      </x:c>
      <x:c r="K43" s="26" t="str">
        <x:v>ACC verified standard for Apr 2025+ T10X; remaining trim-dependent equipment remains UNKNOWN where unresolved.</x:v>
      </x:c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6" t="str">
        <x:v>QUE-000043</x:v>
      </x:c>
      <x:c r="B44" s="26" t="str">
        <x:v>CFG-000008</x:v>
      </x:c>
      <x:c r="C44" s="26" t="str">
        <x:v>identity_exact_configuration</x:v>
      </x:c>
      <x:c r="D44" s="26" t="str">
        <x:v>P0</x:v>
      </x:c>
      <x:c r="E44" s="26" t="str">
        <x:v>COMPLETE</x:v>
      </x:c>
      <x:c r="F44" s="26" t="str">
        <x:v>A1_OFFICIAL_MARKET</x:v>
      </x:c>
      <x:c r="G44" s="26" t="str">
        <x:v>WEB</x:v>
      </x:c>
      <x:c r="H44" s="26" t="n">
        <x:v>2</x:v>
      </x:c>
      <x:c r="I44" s="36" t="n">
        <x:v>46248</x:v>
      </x:c>
      <x:c r="J44" s="26" t="str">
        <x:v>FOUND</x:v>
      </x:c>
      <x:c r="K44" s="26" t="str">
        <x:v>P0 closure pass completed.</x:v>
      </x:c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 t="str">
        <x:v>QUE-000044</x:v>
      </x:c>
      <x:c r="B45" s="26" t="str">
        <x:v>CFG-000008</x:v>
      </x:c>
      <x:c r="C45" s="26" t="str">
        <x:v>dimensions_core</x:v>
      </x:c>
      <x:c r="D45" s="26" t="str">
        <x:v>P0</x:v>
      </x:c>
      <x:c r="E45" s="26" t="str">
        <x:v>COMPLETE</x:v>
      </x:c>
      <x:c r="F45" s="26" t="str">
        <x:v>A1_OFFICIAL_MARKET</x:v>
      </x:c>
      <x:c r="G45" s="26" t="str">
        <x:v>WEB</x:v>
      </x:c>
      <x:c r="H45" s="26" t="n">
        <x:v>2</x:v>
      </x:c>
      <x:c r="I45" s="36" t="n">
        <x:v>46248</x:v>
      </x:c>
      <x:c r="J45" s="26" t="str">
        <x:v>FOUND</x:v>
      </x:c>
      <x:c r="K45" s="26" t="str">
        <x:v>P0 closure pass completed.</x:v>
      </x:c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6" t="str">
        <x:v>QUE-000045</x:v>
      </x:c>
      <x:c r="B46" s="26" t="str">
        <x:v>CFG-000008</x:v>
      </x:c>
      <x:c r="C46" s="26" t="str">
        <x:v>cargo_volume_l</x:v>
      </x:c>
      <x:c r="D46" s="26" t="str">
        <x:v>P0</x:v>
      </x:c>
      <x:c r="E46" s="26" t="str">
        <x:v>COMPLETE</x:v>
      </x:c>
      <x:c r="F46" s="26" t="str">
        <x:v>A1_OFFICIAL_MARKET</x:v>
      </x:c>
      <x:c r="G46" s="26" t="str">
        <x:v>WEB</x:v>
      </x:c>
      <x:c r="H46" s="26" t="n">
        <x:v>2</x:v>
      </x:c>
      <x:c r="I46" s="36" t="n">
        <x:v>46248</x:v>
      </x:c>
      <x:c r="J46" s="26" t="str">
        <x:v>FOUND</x:v>
      </x:c>
      <x:c r="K46" s="26" t="str">
        <x:v>410 L normal cargo verified; 328 dm3 VDA retained in measurement context.</x:v>
      </x:c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 t="str">
        <x:v>QUE-000046</x:v>
      </x:c>
      <x:c r="B47" s="26" t="str">
        <x:v>CFG-000008</x:v>
      </x:c>
      <x:c r="C47" s="26" t="str">
        <x:v>ground_clearance_mm</x:v>
      </x:c>
      <x:c r="D47" s="26" t="str">
        <x:v>P0</x:v>
      </x:c>
      <x:c r="E47" s="26" t="str">
        <x:v>COMPLETE</x:v>
      </x:c>
      <x:c r="F47" s="26" t="str">
        <x:v>A1_OFFICIAL_MARKET</x:v>
      </x:c>
      <x:c r="G47" s="26" t="str">
        <x:v>WEB</x:v>
      </x:c>
      <x:c r="H47" s="26" t="n">
        <x:v>2</x:v>
      </x:c>
      <x:c r="I47" s="36" t="n">
        <x:v>46248</x:v>
      </x:c>
      <x:c r="J47" s="26" t="str">
        <x:v>FOUND</x:v>
      </x:c>
      <x:c r="K47" s="26" t="str">
        <x:v>P0 closure pass completed.</x:v>
      </x:c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6" t="str">
        <x:v>QUE-000047</x:v>
      </x:c>
      <x:c r="B48" s="26" t="str">
        <x:v>CFG-000008</x:v>
      </x:c>
      <x:c r="C48" s="26" t="str">
        <x:v>efficiency_or_range_core</x:v>
      </x:c>
      <x:c r="D48" s="26" t="str">
        <x:v>P0</x:v>
      </x:c>
      <x:c r="E48" s="26" t="str">
        <x:v>COMPLETE</x:v>
      </x:c>
      <x:c r="F48" s="26" t="str">
        <x:v>A1_OFFICIAL_MARKET</x:v>
      </x:c>
      <x:c r="G48" s="26" t="str">
        <x:v>WEB</x:v>
      </x:c>
      <x:c r="H48" s="26" t="n">
        <x:v>2</x:v>
      </x:c>
      <x:c r="I48" s="36" t="n">
        <x:v>46248</x:v>
      </x:c>
      <x:c r="J48" s="26" t="str">
        <x:v>FOUND</x:v>
      </x:c>
      <x:c r="K48" s="26" t="str">
        <x:v>P0 closure pass completed.</x:v>
      </x:c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 t="str">
        <x:v>QUE-000048</x:v>
      </x:c>
      <x:c r="B49" s="26" t="str">
        <x:v>CFG-000008</x:v>
      </x:c>
      <x:c r="C49" s="26" t="str">
        <x:v>equipment_mvp_core</x:v>
      </x:c>
      <x:c r="D49" s="26" t="str">
        <x:v>P0</x:v>
      </x:c>
      <x:c r="E49" s="26" t="str">
        <x:v>COMPLETE</x:v>
      </x:c>
      <x:c r="F49" s="26" t="str">
        <x:v>A1_OFFICIAL_MARKET</x:v>
      </x:c>
      <x:c r="G49" s="26" t="str">
        <x:v>WEB</x:v>
      </x:c>
      <x:c r="H49" s="26" t="n">
        <x:v>2</x:v>
      </x:c>
      <x:c r="I49" s="36" t="n">
        <x:v>46248</x:v>
      </x:c>
      <x:c r="J49" s="26" t="str">
        <x:v>FOUND</x:v>
      </x:c>
      <x:c r="K49" s="26" t="str">
        <x:v>P0 closure pass completed.</x:v>
      </x:c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3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3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3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3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3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3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3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3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3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3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3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3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3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3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3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3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3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3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3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3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3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3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3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3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3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3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3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3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3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3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3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3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3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3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3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3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3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3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3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3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3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3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3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3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3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3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3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3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3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3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3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3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3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3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3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3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3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3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3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3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3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3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3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3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3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3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3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3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3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3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3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3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26"/>
      <x:c r="U121" s="26"/>
      <x:c r="V121" s="26"/>
      <x:c r="W121" s="26"/>
      <x:c r="X121" s="26"/>
      <x:c r="Y121" s="26"/>
      <x:c r="Z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3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26"/>
      <x:c r="U122" s="26"/>
      <x:c r="V122" s="26"/>
      <x:c r="W122" s="26"/>
      <x:c r="X122" s="26"/>
      <x:c r="Y122" s="26"/>
      <x:c r="Z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3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26"/>
      <x:c r="U123" s="26"/>
      <x:c r="V123" s="26"/>
      <x:c r="W123" s="26"/>
      <x:c r="X123" s="26"/>
      <x:c r="Y123" s="26"/>
      <x:c r="Z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3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26"/>
      <x:c r="U124" s="26"/>
      <x:c r="V124" s="26"/>
      <x:c r="W124" s="26"/>
      <x:c r="X124" s="26"/>
      <x:c r="Y124" s="26"/>
      <x:c r="Z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3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26"/>
      <x:c r="U125" s="26"/>
      <x:c r="V125" s="26"/>
      <x:c r="W125" s="26"/>
      <x:c r="X125" s="26"/>
      <x:c r="Y125" s="26"/>
      <x:c r="Z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3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26"/>
      <x:c r="U126" s="26"/>
      <x:c r="V126" s="26"/>
      <x:c r="W126" s="26"/>
      <x:c r="X126" s="26"/>
      <x:c r="Y126" s="26"/>
      <x:c r="Z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3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26"/>
      <x:c r="U127" s="26"/>
      <x:c r="V127" s="26"/>
      <x:c r="W127" s="26"/>
      <x:c r="X127" s="26"/>
      <x:c r="Y127" s="26"/>
      <x:c r="Z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3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26"/>
      <x:c r="U128" s="26"/>
      <x:c r="V128" s="26"/>
      <x:c r="W128" s="26"/>
      <x:c r="X128" s="26"/>
      <x:c r="Y128" s="26"/>
      <x:c r="Z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3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26"/>
      <x:c r="U129" s="26"/>
      <x:c r="V129" s="26"/>
      <x:c r="W129" s="26"/>
      <x:c r="X129" s="26"/>
      <x:c r="Y129" s="26"/>
      <x:c r="Z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3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26"/>
      <x:c r="U130" s="26"/>
      <x:c r="V130" s="26"/>
      <x:c r="W130" s="26"/>
      <x:c r="X130" s="26"/>
      <x:c r="Y130" s="26"/>
      <x:c r="Z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3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26"/>
      <x:c r="U131" s="26"/>
      <x:c r="V131" s="26"/>
      <x:c r="W131" s="26"/>
      <x:c r="X131" s="26"/>
      <x:c r="Y131" s="26"/>
      <x:c r="Z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3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26"/>
      <x:c r="U132" s="26"/>
      <x:c r="V132" s="26"/>
      <x:c r="W132" s="26"/>
      <x:c r="X132" s="26"/>
      <x:c r="Y132" s="26"/>
      <x:c r="Z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3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26"/>
      <x:c r="U133" s="26"/>
      <x:c r="V133" s="26"/>
      <x:c r="W133" s="26"/>
      <x:c r="X133" s="26"/>
      <x:c r="Y133" s="26"/>
      <x:c r="Z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3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26"/>
      <x:c r="U134" s="26"/>
      <x:c r="V134" s="26"/>
      <x:c r="W134" s="26"/>
      <x:c r="X134" s="26"/>
      <x:c r="Y134" s="26"/>
      <x:c r="Z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3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26"/>
      <x:c r="U135" s="26"/>
      <x:c r="V135" s="26"/>
      <x:c r="W135" s="26"/>
      <x:c r="X135" s="26"/>
      <x:c r="Y135" s="26"/>
      <x:c r="Z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3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26"/>
      <x:c r="U136" s="26"/>
      <x:c r="V136" s="26"/>
      <x:c r="W136" s="26"/>
      <x:c r="X136" s="26"/>
      <x:c r="Y136" s="26"/>
      <x:c r="Z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3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26"/>
      <x:c r="U137" s="26"/>
      <x:c r="V137" s="26"/>
      <x:c r="W137" s="26"/>
      <x:c r="X137" s="26"/>
      <x:c r="Y137" s="26"/>
      <x:c r="Z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3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26"/>
      <x:c r="U138" s="26"/>
      <x:c r="V138" s="26"/>
      <x:c r="W138" s="26"/>
      <x:c r="X138" s="26"/>
      <x:c r="Y138" s="26"/>
      <x:c r="Z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3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26"/>
      <x:c r="U139" s="26"/>
      <x:c r="V139" s="26"/>
      <x:c r="W139" s="26"/>
      <x:c r="X139" s="26"/>
      <x:c r="Y139" s="26"/>
      <x:c r="Z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3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26"/>
      <x:c r="U140" s="26"/>
      <x:c r="V140" s="26"/>
      <x:c r="W140" s="26"/>
      <x:c r="X140" s="26"/>
      <x:c r="Y140" s="26"/>
      <x:c r="Z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3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26"/>
      <x:c r="U141" s="26"/>
      <x:c r="V141" s="26"/>
      <x:c r="W141" s="26"/>
      <x:c r="X141" s="26"/>
      <x:c r="Y141" s="26"/>
      <x:c r="Z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3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26"/>
      <x:c r="U142" s="26"/>
      <x:c r="V142" s="26"/>
      <x:c r="W142" s="26"/>
      <x:c r="X142" s="26"/>
      <x:c r="Y142" s="26"/>
      <x:c r="Z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3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26"/>
      <x:c r="U143" s="26"/>
      <x:c r="V143" s="26"/>
      <x:c r="W143" s="26"/>
      <x:c r="X143" s="26"/>
      <x:c r="Y143" s="26"/>
      <x:c r="Z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3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26"/>
      <x:c r="U144" s="26"/>
      <x:c r="V144" s="26"/>
      <x:c r="W144" s="26"/>
      <x:c r="X144" s="26"/>
      <x:c r="Y144" s="26"/>
      <x:c r="Z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3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26"/>
      <x:c r="U145" s="26"/>
      <x:c r="V145" s="26"/>
      <x:c r="W145" s="26"/>
      <x:c r="X145" s="26"/>
      <x:c r="Y145" s="26"/>
      <x:c r="Z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3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26"/>
      <x:c r="U146" s="26"/>
      <x:c r="V146" s="26"/>
      <x:c r="W146" s="26"/>
      <x:c r="X146" s="26"/>
      <x:c r="Y146" s="26"/>
      <x:c r="Z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3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26"/>
      <x:c r="U147" s="26"/>
      <x:c r="V147" s="26"/>
      <x:c r="W147" s="26"/>
      <x:c r="X147" s="26"/>
      <x:c r="Y147" s="26"/>
      <x:c r="Z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3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26"/>
      <x:c r="U148" s="26"/>
      <x:c r="V148" s="26"/>
      <x:c r="W148" s="26"/>
      <x:c r="X148" s="26"/>
      <x:c r="Y148" s="26"/>
      <x:c r="Z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3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26"/>
      <x:c r="U149" s="26"/>
      <x:c r="V149" s="26"/>
      <x:c r="W149" s="26"/>
      <x:c r="X149" s="26"/>
      <x:c r="Y149" s="26"/>
      <x:c r="Z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3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26"/>
      <x:c r="U150" s="26"/>
      <x:c r="V150" s="26"/>
      <x:c r="W150" s="26"/>
      <x:c r="X150" s="26"/>
      <x:c r="Y150" s="26"/>
      <x:c r="Z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3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26"/>
      <x:c r="U151" s="26"/>
      <x:c r="V151" s="26"/>
      <x:c r="W151" s="26"/>
      <x:c r="X151" s="26"/>
      <x:c r="Y151" s="26"/>
      <x:c r="Z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3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26"/>
      <x:c r="U152" s="26"/>
      <x:c r="V152" s="26"/>
      <x:c r="W152" s="26"/>
      <x:c r="X152" s="26"/>
      <x:c r="Y152" s="26"/>
      <x:c r="Z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3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26"/>
      <x:c r="U153" s="26"/>
      <x:c r="V153" s="26"/>
      <x:c r="W153" s="26"/>
      <x:c r="X153" s="26"/>
      <x:c r="Y153" s="26"/>
      <x:c r="Z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3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26"/>
      <x:c r="U154" s="26"/>
      <x:c r="V154" s="26"/>
      <x:c r="W154" s="26"/>
      <x:c r="X154" s="26"/>
      <x:c r="Y154" s="26"/>
      <x:c r="Z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3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26"/>
      <x:c r="U155" s="26"/>
      <x:c r="V155" s="26"/>
      <x:c r="W155" s="26"/>
      <x:c r="X155" s="26"/>
      <x:c r="Y155" s="26"/>
      <x:c r="Z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3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26"/>
      <x:c r="U156" s="26"/>
      <x:c r="V156" s="26"/>
      <x:c r="W156" s="26"/>
      <x:c r="X156" s="26"/>
      <x:c r="Y156" s="26"/>
      <x:c r="Z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3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26"/>
      <x:c r="U157" s="26"/>
      <x:c r="V157" s="26"/>
      <x:c r="W157" s="26"/>
      <x:c r="X157" s="26"/>
      <x:c r="Y157" s="26"/>
      <x:c r="Z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3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26"/>
      <x:c r="U158" s="26"/>
      <x:c r="V158" s="26"/>
      <x:c r="W158" s="26"/>
      <x:c r="X158" s="26"/>
      <x:c r="Y158" s="26"/>
      <x:c r="Z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3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26"/>
      <x:c r="U159" s="26"/>
      <x:c r="V159" s="26"/>
      <x:c r="W159" s="26"/>
      <x:c r="X159" s="26"/>
      <x:c r="Y159" s="26"/>
      <x:c r="Z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3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26"/>
      <x:c r="U160" s="26"/>
      <x:c r="V160" s="26"/>
      <x:c r="W160" s="26"/>
      <x:c r="X160" s="26"/>
      <x:c r="Y160" s="26"/>
      <x:c r="Z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3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26"/>
      <x:c r="U161" s="26"/>
      <x:c r="V161" s="26"/>
      <x:c r="W161" s="26"/>
      <x:c r="X161" s="26"/>
      <x:c r="Y161" s="26"/>
      <x:c r="Z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3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26"/>
      <x:c r="U162" s="26"/>
      <x:c r="V162" s="26"/>
      <x:c r="W162" s="26"/>
      <x:c r="X162" s="26"/>
      <x:c r="Y162" s="26"/>
      <x:c r="Z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3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26"/>
      <x:c r="U163" s="26"/>
      <x:c r="V163" s="26"/>
      <x:c r="W163" s="26"/>
      <x:c r="X163" s="26"/>
      <x:c r="Y163" s="26"/>
      <x:c r="Z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3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26"/>
      <x:c r="U164" s="26"/>
      <x:c r="V164" s="26"/>
      <x:c r="W164" s="26"/>
      <x:c r="X164" s="26"/>
      <x:c r="Y164" s="26"/>
      <x:c r="Z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3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26"/>
      <x:c r="U165" s="26"/>
      <x:c r="V165" s="26"/>
      <x:c r="W165" s="26"/>
      <x:c r="X165" s="26"/>
      <x:c r="Y165" s="26"/>
      <x:c r="Z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3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26"/>
      <x:c r="U166" s="26"/>
      <x:c r="V166" s="26"/>
      <x:c r="W166" s="26"/>
      <x:c r="X166" s="26"/>
      <x:c r="Y166" s="26"/>
      <x:c r="Z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3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26"/>
      <x:c r="U167" s="26"/>
      <x:c r="V167" s="26"/>
      <x:c r="W167" s="26"/>
      <x:c r="X167" s="26"/>
      <x:c r="Y167" s="26"/>
      <x:c r="Z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3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26"/>
      <x:c r="U168" s="26"/>
      <x:c r="V168" s="26"/>
      <x:c r="W168" s="26"/>
      <x:c r="X168" s="26"/>
      <x:c r="Y168" s="26"/>
      <x:c r="Z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3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26"/>
      <x:c r="U169" s="26"/>
      <x:c r="V169" s="26"/>
      <x:c r="W169" s="26"/>
      <x:c r="X169" s="26"/>
      <x:c r="Y169" s="26"/>
      <x:c r="Z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3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26"/>
      <x:c r="U170" s="26"/>
      <x:c r="V170" s="26"/>
      <x:c r="W170" s="26"/>
      <x:c r="X170" s="26"/>
      <x:c r="Y170" s="26"/>
      <x:c r="Z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3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26"/>
      <x:c r="U171" s="26"/>
      <x:c r="V171" s="26"/>
      <x:c r="W171" s="26"/>
      <x:c r="X171" s="26"/>
      <x:c r="Y171" s="26"/>
      <x:c r="Z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3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26"/>
      <x:c r="U172" s="26"/>
      <x:c r="V172" s="26"/>
      <x:c r="W172" s="26"/>
      <x:c r="X172" s="26"/>
      <x:c r="Y172" s="26"/>
      <x:c r="Z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3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26"/>
      <x:c r="U173" s="26"/>
      <x:c r="V173" s="26"/>
      <x:c r="W173" s="26"/>
      <x:c r="X173" s="26"/>
      <x:c r="Y173" s="26"/>
      <x:c r="Z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3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26"/>
      <x:c r="U174" s="26"/>
      <x:c r="V174" s="26"/>
      <x:c r="W174" s="26"/>
      <x:c r="X174" s="26"/>
      <x:c r="Y174" s="26"/>
      <x:c r="Z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3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26"/>
      <x:c r="U175" s="26"/>
      <x:c r="V175" s="26"/>
      <x:c r="W175" s="26"/>
      <x:c r="X175" s="26"/>
      <x:c r="Y175" s="26"/>
      <x:c r="Z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3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26"/>
      <x:c r="U176" s="26"/>
      <x:c r="V176" s="26"/>
      <x:c r="W176" s="26"/>
      <x:c r="X176" s="26"/>
      <x:c r="Y176" s="26"/>
      <x:c r="Z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3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26"/>
      <x:c r="U177" s="26"/>
      <x:c r="V177" s="26"/>
      <x:c r="W177" s="26"/>
      <x:c r="X177" s="26"/>
      <x:c r="Y177" s="26"/>
      <x:c r="Z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3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26"/>
      <x:c r="U178" s="26"/>
      <x:c r="V178" s="26"/>
      <x:c r="W178" s="26"/>
      <x:c r="X178" s="26"/>
      <x:c r="Y178" s="26"/>
      <x:c r="Z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3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26"/>
      <x:c r="U179" s="26"/>
      <x:c r="V179" s="26"/>
      <x:c r="W179" s="26"/>
      <x:c r="X179" s="26"/>
      <x:c r="Y179" s="26"/>
      <x:c r="Z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3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26"/>
      <x:c r="U180" s="26"/>
      <x:c r="V180" s="26"/>
      <x:c r="W180" s="26"/>
      <x:c r="X180" s="26"/>
      <x:c r="Y180" s="26"/>
      <x:c r="Z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3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26"/>
      <x:c r="U181" s="26"/>
      <x:c r="V181" s="26"/>
      <x:c r="W181" s="26"/>
      <x:c r="X181" s="26"/>
      <x:c r="Y181" s="26"/>
      <x:c r="Z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3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26"/>
      <x:c r="U182" s="26"/>
      <x:c r="V182" s="26"/>
      <x:c r="W182" s="26"/>
      <x:c r="X182" s="26"/>
      <x:c r="Y182" s="26"/>
      <x:c r="Z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3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26"/>
      <x:c r="U183" s="26"/>
      <x:c r="V183" s="26"/>
      <x:c r="W183" s="26"/>
      <x:c r="X183" s="26"/>
      <x:c r="Y183" s="26"/>
      <x:c r="Z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3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26"/>
      <x:c r="U184" s="26"/>
      <x:c r="V184" s="26"/>
      <x:c r="W184" s="26"/>
      <x:c r="X184" s="26"/>
      <x:c r="Y184" s="26"/>
      <x:c r="Z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3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26"/>
      <x:c r="U185" s="26"/>
      <x:c r="V185" s="26"/>
      <x:c r="W185" s="26"/>
      <x:c r="X185" s="26"/>
      <x:c r="Y185" s="26"/>
      <x:c r="Z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3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26"/>
      <x:c r="U186" s="26"/>
      <x:c r="V186" s="26"/>
      <x:c r="W186" s="26"/>
      <x:c r="X186" s="26"/>
      <x:c r="Y186" s="26"/>
      <x:c r="Z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3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26"/>
      <x:c r="U187" s="26"/>
      <x:c r="V187" s="26"/>
      <x:c r="W187" s="26"/>
      <x:c r="X187" s="26"/>
      <x:c r="Y187" s="26"/>
      <x:c r="Z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3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26"/>
      <x:c r="U188" s="26"/>
      <x:c r="V188" s="26"/>
      <x:c r="W188" s="26"/>
      <x:c r="X188" s="26"/>
      <x:c r="Y188" s="26"/>
      <x:c r="Z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3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26"/>
      <x:c r="U189" s="26"/>
      <x:c r="V189" s="26"/>
      <x:c r="W189" s="26"/>
      <x:c r="X189" s="26"/>
      <x:c r="Y189" s="26"/>
      <x:c r="Z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3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26"/>
      <x:c r="U190" s="26"/>
      <x:c r="V190" s="26"/>
      <x:c r="W190" s="26"/>
      <x:c r="X190" s="26"/>
      <x:c r="Y190" s="26"/>
      <x:c r="Z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3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26"/>
      <x:c r="U191" s="26"/>
      <x:c r="V191" s="26"/>
      <x:c r="W191" s="26"/>
      <x:c r="X191" s="26"/>
      <x:c r="Y191" s="26"/>
      <x:c r="Z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3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26"/>
      <x:c r="U192" s="26"/>
      <x:c r="V192" s="26"/>
      <x:c r="W192" s="26"/>
      <x:c r="X192" s="26"/>
      <x:c r="Y192" s="26"/>
      <x:c r="Z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3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26"/>
      <x:c r="U193" s="26"/>
      <x:c r="V193" s="26"/>
      <x:c r="W193" s="26"/>
      <x:c r="X193" s="26"/>
      <x:c r="Y193" s="26"/>
      <x:c r="Z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3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26"/>
      <x:c r="U194" s="26"/>
      <x:c r="V194" s="26"/>
      <x:c r="W194" s="26"/>
      <x:c r="X194" s="26"/>
      <x:c r="Y194" s="26"/>
      <x:c r="Z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3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26"/>
      <x:c r="U195" s="26"/>
      <x:c r="V195" s="26"/>
      <x:c r="W195" s="26"/>
      <x:c r="X195" s="26"/>
      <x:c r="Y195" s="26"/>
      <x:c r="Z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3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26"/>
      <x:c r="U196" s="26"/>
      <x:c r="V196" s="26"/>
      <x:c r="W196" s="26"/>
      <x:c r="X196" s="26"/>
      <x:c r="Y196" s="26"/>
      <x:c r="Z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3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26"/>
      <x:c r="U197" s="26"/>
      <x:c r="V197" s="26"/>
      <x:c r="W197" s="26"/>
      <x:c r="X197" s="26"/>
      <x:c r="Y197" s="26"/>
      <x:c r="Z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3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26"/>
      <x:c r="U198" s="26"/>
      <x:c r="V198" s="26"/>
      <x:c r="W198" s="26"/>
      <x:c r="X198" s="26"/>
      <x:c r="Y198" s="26"/>
      <x:c r="Z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3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26"/>
      <x:c r="U199" s="26"/>
      <x:c r="V199" s="26"/>
      <x:c r="W199" s="26"/>
      <x:c r="X199" s="26"/>
      <x:c r="Y199" s="26"/>
      <x:c r="Z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3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26"/>
      <x:c r="U200" s="26"/>
      <x:c r="V200" s="26"/>
      <x:c r="W200" s="26"/>
      <x:c r="X200" s="26"/>
      <x:c r="Y200" s="26"/>
      <x:c r="Z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36"/>
      <x:c r="J201" s="26"/>
      <x:c r="K201" s="26"/>
      <x:c r="L201" s="26"/>
      <x:c r="M201" s="26"/>
      <x:c r="N201" s="26"/>
      <x:c r="O201" s="26"/>
      <x:c r="P201" s="26"/>
      <x:c r="Q201" s="26"/>
      <x:c r="R201" s="26"/>
      <x:c r="S201" s="26"/>
      <x:c r="T201" s="26"/>
      <x:c r="U201" s="26"/>
      <x:c r="V201" s="26"/>
      <x:c r="W201" s="26"/>
      <x:c r="X201" s="26"/>
      <x:c r="Y201" s="26"/>
      <x:c r="Z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36"/>
      <x:c r="J202" s="26"/>
      <x:c r="K202" s="26"/>
      <x:c r="L202" s="26"/>
      <x:c r="M202" s="26"/>
      <x:c r="N202" s="26"/>
      <x:c r="O202" s="26"/>
      <x:c r="P202" s="26"/>
      <x:c r="Q202" s="26"/>
      <x:c r="R202" s="26"/>
      <x:c r="S202" s="26"/>
      <x:c r="T202" s="26"/>
      <x:c r="U202" s="26"/>
      <x:c r="V202" s="26"/>
      <x:c r="W202" s="26"/>
      <x:c r="X202" s="26"/>
      <x:c r="Y202" s="26"/>
      <x:c r="Z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36"/>
      <x:c r="J203" s="26"/>
      <x:c r="K203" s="26"/>
      <x:c r="L203" s="26"/>
      <x:c r="M203" s="26"/>
      <x:c r="N203" s="26"/>
      <x:c r="O203" s="26"/>
      <x:c r="P203" s="26"/>
      <x:c r="Q203" s="26"/>
      <x:c r="R203" s="26"/>
      <x:c r="S203" s="26"/>
      <x:c r="T203" s="26"/>
      <x:c r="U203" s="26"/>
      <x:c r="V203" s="26"/>
      <x:c r="W203" s="26"/>
      <x:c r="X203" s="26"/>
      <x:c r="Y203" s="26"/>
      <x:c r="Z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36"/>
      <x:c r="J204" s="26"/>
      <x:c r="K204" s="26"/>
      <x:c r="L204" s="26"/>
      <x:c r="M204" s="26"/>
      <x:c r="N204" s="26"/>
      <x:c r="O204" s="26"/>
      <x:c r="P204" s="26"/>
      <x:c r="Q204" s="26"/>
      <x:c r="R204" s="26"/>
      <x:c r="S204" s="26"/>
      <x:c r="T204" s="26"/>
      <x:c r="U204" s="26"/>
      <x:c r="V204" s="26"/>
      <x:c r="W204" s="26"/>
      <x:c r="X204" s="26"/>
      <x:c r="Y204" s="26"/>
      <x:c r="Z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36"/>
      <x:c r="J205" s="26"/>
      <x:c r="K205" s="26"/>
      <x:c r="L205" s="26"/>
      <x:c r="M205" s="26"/>
      <x:c r="N205" s="26"/>
      <x:c r="O205" s="26"/>
      <x:c r="P205" s="26"/>
      <x:c r="Q205" s="26"/>
      <x:c r="R205" s="26"/>
      <x:c r="S205" s="26"/>
      <x:c r="T205" s="26"/>
      <x:c r="U205" s="26"/>
      <x:c r="V205" s="26"/>
      <x:c r="W205" s="26"/>
      <x:c r="X205" s="26"/>
      <x:c r="Y205" s="26"/>
      <x:c r="Z205" s="26"/>
    </x:row>
    <x:row r="206">
      <x:c r="A206" s="26"/>
      <x:c r="B206" s="26"/>
      <x:c r="C206" s="26"/>
      <x:c r="D206" s="26"/>
      <x:c r="E206" s="26"/>
      <x:c r="F206" s="26"/>
      <x:c r="G206" s="26"/>
      <x:c r="H206" s="26"/>
      <x:c r="I206" s="36"/>
      <x:c r="J206" s="26"/>
      <x:c r="K206" s="26"/>
      <x:c r="L206" s="26"/>
      <x:c r="M206" s="26"/>
      <x:c r="N206" s="26"/>
      <x:c r="O206" s="26"/>
      <x:c r="P206" s="26"/>
      <x:c r="Q206" s="26"/>
      <x:c r="R206" s="26"/>
      <x:c r="S206" s="26"/>
      <x:c r="T206" s="26"/>
      <x:c r="U206" s="26"/>
      <x:c r="V206" s="26"/>
      <x:c r="W206" s="26"/>
      <x:c r="X206" s="26"/>
      <x:c r="Y206" s="26"/>
      <x:c r="Z206" s="26"/>
    </x:row>
    <x:row r="207">
      <x:c r="A207" s="26"/>
      <x:c r="B207" s="26"/>
      <x:c r="C207" s="26"/>
      <x:c r="D207" s="26"/>
      <x:c r="E207" s="26"/>
      <x:c r="F207" s="26"/>
      <x:c r="G207" s="26"/>
      <x:c r="H207" s="26"/>
      <x:c r="I207" s="36"/>
      <x:c r="J207" s="26"/>
      <x:c r="K207" s="26"/>
      <x:c r="L207" s="26"/>
      <x:c r="M207" s="26"/>
      <x:c r="N207" s="26"/>
      <x:c r="O207" s="26"/>
      <x:c r="P207" s="26"/>
      <x:c r="Q207" s="26"/>
      <x:c r="R207" s="26"/>
      <x:c r="S207" s="26"/>
      <x:c r="T207" s="26"/>
      <x:c r="U207" s="26"/>
      <x:c r="V207" s="26"/>
      <x:c r="W207" s="26"/>
      <x:c r="X207" s="26"/>
      <x:c r="Y207" s="26"/>
      <x:c r="Z207" s="26"/>
    </x:row>
    <x:row r="208">
      <x:c r="A208" s="26"/>
      <x:c r="B208" s="26"/>
      <x:c r="C208" s="26"/>
      <x:c r="D208" s="26"/>
      <x:c r="E208" s="26"/>
      <x:c r="F208" s="26"/>
      <x:c r="G208" s="26"/>
      <x:c r="H208" s="26"/>
      <x:c r="I208" s="36"/>
      <x:c r="J208" s="26"/>
      <x:c r="K208" s="26"/>
      <x:c r="L208" s="26"/>
      <x:c r="M208" s="26"/>
      <x:c r="N208" s="26"/>
      <x:c r="O208" s="26"/>
      <x:c r="P208" s="26"/>
      <x:c r="Q208" s="26"/>
      <x:c r="R208" s="26"/>
      <x:c r="S208" s="26"/>
      <x:c r="T208" s="26"/>
      <x:c r="U208" s="26"/>
      <x:c r="V208" s="26"/>
      <x:c r="W208" s="26"/>
      <x:c r="X208" s="26"/>
      <x:c r="Y208" s="26"/>
      <x:c r="Z208" s="26"/>
    </x:row>
    <x:row r="209">
      <x:c r="A209" s="26"/>
      <x:c r="B209" s="26"/>
      <x:c r="C209" s="26"/>
      <x:c r="D209" s="26"/>
      <x:c r="E209" s="26"/>
      <x:c r="F209" s="26"/>
      <x:c r="G209" s="26"/>
      <x:c r="H209" s="26"/>
      <x:c r="I209" s="36"/>
      <x:c r="J209" s="26"/>
      <x:c r="K209" s="26"/>
      <x:c r="L209" s="26"/>
      <x:c r="M209" s="26"/>
      <x:c r="N209" s="26"/>
      <x:c r="O209" s="26"/>
      <x:c r="P209" s="26"/>
      <x:c r="Q209" s="26"/>
      <x:c r="R209" s="26"/>
      <x:c r="S209" s="26"/>
      <x:c r="T209" s="26"/>
      <x:c r="U209" s="26"/>
      <x:c r="V209" s="26"/>
      <x:c r="W209" s="26"/>
      <x:c r="X209" s="26"/>
      <x:c r="Y209" s="26"/>
      <x:c r="Z209" s="26"/>
    </x:row>
    <x:row r="210">
      <x:c r="A210" s="26"/>
      <x:c r="B210" s="26"/>
      <x:c r="C210" s="26"/>
      <x:c r="D210" s="26"/>
      <x:c r="E210" s="26"/>
      <x:c r="F210" s="26"/>
      <x:c r="G210" s="26"/>
      <x:c r="H210" s="26"/>
      <x:c r="I210" s="36"/>
      <x:c r="J210" s="26"/>
      <x:c r="K210" s="26"/>
      <x:c r="L210" s="26"/>
      <x:c r="M210" s="26"/>
      <x:c r="N210" s="26"/>
      <x:c r="O210" s="26"/>
      <x:c r="P210" s="26"/>
      <x:c r="Q210" s="26"/>
      <x:c r="R210" s="26"/>
      <x:c r="S210" s="26"/>
      <x:c r="T210" s="26"/>
      <x:c r="U210" s="26"/>
      <x:c r="V210" s="26"/>
      <x:c r="W210" s="26"/>
      <x:c r="X210" s="26"/>
      <x:c r="Y210" s="26"/>
      <x:c r="Z210" s="26"/>
    </x:row>
    <x:row r="211">
      <x:c r="A211" s="26"/>
      <x:c r="B211" s="26"/>
      <x:c r="C211" s="26"/>
      <x:c r="D211" s="26"/>
      <x:c r="E211" s="26"/>
      <x:c r="F211" s="26"/>
      <x:c r="G211" s="26"/>
      <x:c r="H211" s="26"/>
      <x:c r="I211" s="36"/>
      <x:c r="J211" s="26"/>
      <x:c r="K211" s="26"/>
      <x:c r="L211" s="26"/>
      <x:c r="M211" s="26"/>
      <x:c r="N211" s="26"/>
      <x:c r="O211" s="26"/>
      <x:c r="P211" s="26"/>
      <x:c r="Q211" s="26"/>
      <x:c r="R211" s="26"/>
      <x:c r="S211" s="26"/>
      <x:c r="T211" s="26"/>
      <x:c r="U211" s="26"/>
      <x:c r="V211" s="26"/>
      <x:c r="W211" s="26"/>
      <x:c r="X211" s="26"/>
      <x:c r="Y211" s="26"/>
      <x:c r="Z211" s="26"/>
    </x:row>
    <x:row r="212">
      <x:c r="A212" s="26"/>
      <x:c r="B212" s="26"/>
      <x:c r="C212" s="26"/>
      <x:c r="D212" s="26"/>
      <x:c r="E212" s="26"/>
      <x:c r="F212" s="26"/>
      <x:c r="G212" s="26"/>
      <x:c r="H212" s="26"/>
      <x:c r="I212" s="36"/>
      <x:c r="J212" s="26"/>
      <x:c r="K212" s="26"/>
      <x:c r="L212" s="26"/>
      <x:c r="M212" s="26"/>
      <x:c r="N212" s="26"/>
      <x:c r="O212" s="26"/>
      <x:c r="P212" s="26"/>
      <x:c r="Q212" s="26"/>
      <x:c r="R212" s="26"/>
      <x:c r="S212" s="26"/>
      <x:c r="T212" s="26"/>
      <x:c r="U212" s="26"/>
      <x:c r="V212" s="26"/>
      <x:c r="W212" s="26"/>
      <x:c r="X212" s="26"/>
      <x:c r="Y212" s="26"/>
      <x:c r="Z212" s="26"/>
    </x:row>
    <x:row r="213">
      <x:c r="A213" s="26"/>
      <x:c r="B213" s="26"/>
      <x:c r="C213" s="26"/>
      <x:c r="D213" s="26"/>
      <x:c r="E213" s="26"/>
      <x:c r="F213" s="26"/>
      <x:c r="G213" s="26"/>
      <x:c r="H213" s="26"/>
      <x:c r="I213" s="36"/>
      <x:c r="J213" s="26"/>
      <x:c r="K213" s="26"/>
      <x:c r="L213" s="26"/>
      <x:c r="M213" s="26"/>
      <x:c r="N213" s="26"/>
      <x:c r="O213" s="26"/>
      <x:c r="P213" s="26"/>
      <x:c r="Q213" s="26"/>
      <x:c r="R213" s="26"/>
      <x:c r="S213" s="26"/>
      <x:c r="T213" s="26"/>
      <x:c r="U213" s="26"/>
      <x:c r="V213" s="26"/>
      <x:c r="W213" s="26"/>
      <x:c r="X213" s="26"/>
      <x:c r="Y213" s="26"/>
      <x:c r="Z213" s="26"/>
    </x:row>
    <x:row r="214">
      <x:c r="A214" s="26"/>
      <x:c r="B214" s="26"/>
      <x:c r="C214" s="26"/>
      <x:c r="D214" s="26"/>
      <x:c r="E214" s="26"/>
      <x:c r="F214" s="26"/>
      <x:c r="G214" s="26"/>
      <x:c r="H214" s="26"/>
      <x:c r="I214" s="36"/>
      <x:c r="J214" s="26"/>
      <x:c r="K214" s="26"/>
      <x:c r="L214" s="26"/>
      <x:c r="M214" s="26"/>
      <x:c r="N214" s="26"/>
      <x:c r="O214" s="26"/>
      <x:c r="P214" s="26"/>
      <x:c r="Q214" s="26"/>
      <x:c r="R214" s="26"/>
      <x:c r="S214" s="26"/>
      <x:c r="T214" s="26"/>
      <x:c r="U214" s="26"/>
      <x:c r="V214" s="26"/>
      <x:c r="W214" s="26"/>
      <x:c r="X214" s="26"/>
      <x:c r="Y214" s="26"/>
      <x:c r="Z214" s="26"/>
    </x:row>
    <x:row r="215">
      <x:c r="A215" s="26"/>
      <x:c r="B215" s="26"/>
      <x:c r="C215" s="26"/>
      <x:c r="D215" s="26"/>
      <x:c r="E215" s="26"/>
      <x:c r="F215" s="26"/>
      <x:c r="G215" s="26"/>
      <x:c r="H215" s="26"/>
      <x:c r="I215" s="36"/>
      <x:c r="J215" s="26"/>
      <x:c r="K215" s="26"/>
      <x:c r="L215" s="26"/>
      <x:c r="M215" s="26"/>
      <x:c r="N215" s="26"/>
      <x:c r="O215" s="26"/>
      <x:c r="P215" s="26"/>
      <x:c r="Q215" s="26"/>
      <x:c r="R215" s="26"/>
      <x:c r="S215" s="26"/>
      <x:c r="T215" s="26"/>
      <x:c r="U215" s="26"/>
      <x:c r="V215" s="26"/>
      <x:c r="W215" s="26"/>
      <x:c r="X215" s="26"/>
      <x:c r="Y215" s="26"/>
      <x:c r="Z215" s="26"/>
    </x:row>
    <x:row r="216">
      <x:c r="A216" s="26"/>
      <x:c r="B216" s="26"/>
      <x:c r="C216" s="26"/>
      <x:c r="D216" s="26"/>
      <x:c r="E216" s="26"/>
      <x:c r="F216" s="26"/>
      <x:c r="G216" s="26"/>
      <x:c r="H216" s="26"/>
      <x:c r="I216" s="36"/>
      <x:c r="J216" s="26"/>
      <x:c r="K216" s="26"/>
      <x:c r="L216" s="26"/>
      <x:c r="M216" s="26"/>
      <x:c r="N216" s="26"/>
      <x:c r="O216" s="26"/>
      <x:c r="P216" s="26"/>
      <x:c r="Q216" s="26"/>
      <x:c r="R216" s="26"/>
      <x:c r="S216" s="26"/>
      <x:c r="T216" s="26"/>
      <x:c r="U216" s="26"/>
      <x:c r="V216" s="26"/>
      <x:c r="W216" s="26"/>
      <x:c r="X216" s="26"/>
      <x:c r="Y216" s="26"/>
      <x:c r="Z216" s="26"/>
    </x:row>
    <x:row r="217">
      <x:c r="A217" s="26"/>
      <x:c r="B217" s="26"/>
      <x:c r="C217" s="26"/>
      <x:c r="D217" s="26"/>
      <x:c r="E217" s="26"/>
      <x:c r="F217" s="26"/>
      <x:c r="G217" s="26"/>
      <x:c r="H217" s="26"/>
      <x:c r="I217" s="36"/>
      <x:c r="J217" s="26"/>
      <x:c r="K217" s="26"/>
      <x:c r="L217" s="26"/>
      <x:c r="M217" s="26"/>
      <x:c r="N217" s="26"/>
      <x:c r="O217" s="26"/>
      <x:c r="P217" s="26"/>
      <x:c r="Q217" s="26"/>
      <x:c r="R217" s="26"/>
      <x:c r="S217" s="26"/>
      <x:c r="T217" s="26"/>
      <x:c r="U217" s="26"/>
      <x:c r="V217" s="26"/>
      <x:c r="W217" s="26"/>
      <x:c r="X217" s="26"/>
      <x:c r="Y217" s="26"/>
      <x:c r="Z217" s="26"/>
    </x:row>
    <x:row r="218">
      <x:c r="A218" s="26"/>
      <x:c r="B218" s="26"/>
      <x:c r="C218" s="26"/>
      <x:c r="D218" s="26"/>
      <x:c r="E218" s="26"/>
      <x:c r="F218" s="26"/>
      <x:c r="G218" s="26"/>
      <x:c r="H218" s="26"/>
      <x:c r="I218" s="36"/>
      <x:c r="J218" s="26"/>
      <x:c r="K218" s="26"/>
      <x:c r="L218" s="26"/>
      <x:c r="M218" s="26"/>
      <x:c r="N218" s="26"/>
      <x:c r="O218" s="26"/>
      <x:c r="P218" s="26"/>
      <x:c r="Q218" s="26"/>
      <x:c r="R218" s="26"/>
      <x:c r="S218" s="26"/>
      <x:c r="T218" s="26"/>
      <x:c r="U218" s="26"/>
      <x:c r="V218" s="26"/>
      <x:c r="W218" s="26"/>
      <x:c r="X218" s="26"/>
      <x:c r="Y218" s="26"/>
      <x:c r="Z218" s="26"/>
    </x:row>
    <x:row r="219">
      <x:c r="A219" s="26"/>
      <x:c r="B219" s="26"/>
      <x:c r="C219" s="26"/>
      <x:c r="D219" s="26"/>
      <x:c r="E219" s="26"/>
      <x:c r="F219" s="26"/>
      <x:c r="G219" s="26"/>
      <x:c r="H219" s="26"/>
      <x:c r="I219" s="36"/>
      <x:c r="J219" s="26"/>
      <x:c r="K219" s="26"/>
      <x:c r="L219" s="26"/>
      <x:c r="M219" s="26"/>
      <x:c r="N219" s="26"/>
      <x:c r="O219" s="26"/>
      <x:c r="P219" s="26"/>
      <x:c r="Q219" s="26"/>
      <x:c r="R219" s="26"/>
      <x:c r="S219" s="26"/>
      <x:c r="T219" s="26"/>
      <x:c r="U219" s="26"/>
      <x:c r="V219" s="26"/>
      <x:c r="W219" s="26"/>
      <x:c r="X219" s="26"/>
      <x:c r="Y219" s="26"/>
      <x:c r="Z219" s="26"/>
    </x:row>
    <x:row r="220">
      <x:c r="A220" s="26"/>
      <x:c r="B220" s="26"/>
      <x:c r="C220" s="26"/>
      <x:c r="D220" s="26"/>
      <x:c r="E220" s="26"/>
      <x:c r="F220" s="26"/>
      <x:c r="G220" s="26"/>
      <x:c r="H220" s="26"/>
      <x:c r="I220" s="36"/>
      <x:c r="J220" s="26"/>
      <x:c r="K220" s="26"/>
      <x:c r="L220" s="26"/>
      <x:c r="M220" s="26"/>
      <x:c r="N220" s="26"/>
      <x:c r="O220" s="26"/>
      <x:c r="P220" s="26"/>
      <x:c r="Q220" s="26"/>
      <x:c r="R220" s="26"/>
      <x:c r="S220" s="26"/>
      <x:c r="T220" s="26"/>
      <x:c r="U220" s="26"/>
      <x:c r="V220" s="26"/>
      <x:c r="W220" s="26"/>
      <x:c r="X220" s="26"/>
      <x:c r="Y220" s="26"/>
      <x:c r="Z220" s="26"/>
    </x:row>
    <x:row r="221">
      <x:c r="A221" s="26"/>
      <x:c r="B221" s="26"/>
      <x:c r="C221" s="26"/>
      <x:c r="D221" s="26"/>
      <x:c r="E221" s="26"/>
      <x:c r="F221" s="26"/>
      <x:c r="G221" s="26"/>
      <x:c r="H221" s="26"/>
      <x:c r="I221" s="36"/>
      <x:c r="J221" s="26"/>
      <x:c r="K221" s="26"/>
      <x:c r="L221" s="26"/>
      <x:c r="M221" s="26"/>
      <x:c r="N221" s="26"/>
      <x:c r="O221" s="26"/>
      <x:c r="P221" s="26"/>
      <x:c r="Q221" s="26"/>
      <x:c r="R221" s="26"/>
      <x:c r="S221" s="26"/>
      <x:c r="T221" s="26"/>
      <x:c r="U221" s="26"/>
      <x:c r="V221" s="26"/>
      <x:c r="W221" s="26"/>
      <x:c r="X221" s="26"/>
      <x:c r="Y221" s="26"/>
      <x:c r="Z221" s="26"/>
    </x:row>
    <x:row r="222">
      <x:c r="A222" s="26"/>
      <x:c r="B222" s="26"/>
      <x:c r="C222" s="26"/>
      <x:c r="D222" s="26"/>
      <x:c r="E222" s="26"/>
      <x:c r="F222" s="26"/>
      <x:c r="G222" s="26"/>
      <x:c r="H222" s="26"/>
      <x:c r="I222" s="36"/>
      <x:c r="J222" s="26"/>
      <x:c r="K222" s="26"/>
      <x:c r="L222" s="26"/>
      <x:c r="M222" s="26"/>
      <x:c r="N222" s="26"/>
      <x:c r="O222" s="26"/>
      <x:c r="P222" s="26"/>
      <x:c r="Q222" s="26"/>
      <x:c r="R222" s="26"/>
      <x:c r="S222" s="26"/>
      <x:c r="T222" s="26"/>
      <x:c r="U222" s="26"/>
      <x:c r="V222" s="26"/>
      <x:c r="W222" s="26"/>
      <x:c r="X222" s="26"/>
      <x:c r="Y222" s="26"/>
      <x:c r="Z222" s="26"/>
    </x:row>
    <x:row r="223">
      <x:c r="A223" s="26"/>
      <x:c r="B223" s="26"/>
      <x:c r="C223" s="26"/>
      <x:c r="D223" s="26"/>
      <x:c r="E223" s="26"/>
      <x:c r="F223" s="26"/>
      <x:c r="G223" s="26"/>
      <x:c r="H223" s="26"/>
      <x:c r="I223" s="36"/>
      <x:c r="J223" s="26"/>
      <x:c r="K223" s="26"/>
      <x:c r="L223" s="26"/>
      <x:c r="M223" s="26"/>
      <x:c r="N223" s="26"/>
      <x:c r="O223" s="26"/>
      <x:c r="P223" s="26"/>
      <x:c r="Q223" s="26"/>
      <x:c r="R223" s="26"/>
      <x:c r="S223" s="26"/>
      <x:c r="T223" s="26"/>
      <x:c r="U223" s="26"/>
      <x:c r="V223" s="26"/>
      <x:c r="W223" s="26"/>
      <x:c r="X223" s="26"/>
      <x:c r="Y223" s="26"/>
      <x:c r="Z223" s="26"/>
    </x:row>
    <x:row r="224">
      <x:c r="A224" s="26"/>
      <x:c r="B224" s="26"/>
      <x:c r="C224" s="26"/>
      <x:c r="D224" s="26"/>
      <x:c r="E224" s="26"/>
      <x:c r="F224" s="26"/>
      <x:c r="G224" s="26"/>
      <x:c r="H224" s="26"/>
      <x:c r="I224" s="36"/>
      <x:c r="J224" s="26"/>
      <x:c r="K224" s="26"/>
      <x:c r="L224" s="26"/>
      <x:c r="M224" s="26"/>
      <x:c r="N224" s="26"/>
      <x:c r="O224" s="26"/>
      <x:c r="P224" s="26"/>
      <x:c r="Q224" s="26"/>
      <x:c r="R224" s="26"/>
      <x:c r="S224" s="26"/>
      <x:c r="T224" s="26"/>
      <x:c r="U224" s="26"/>
      <x:c r="V224" s="26"/>
      <x:c r="W224" s="26"/>
      <x:c r="X224" s="26"/>
      <x:c r="Y224" s="26"/>
      <x:c r="Z224" s="26"/>
    </x:row>
    <x:row r="225">
      <x:c r="A225" s="26"/>
      <x:c r="B225" s="26"/>
      <x:c r="C225" s="26"/>
      <x:c r="D225" s="26"/>
      <x:c r="E225" s="26"/>
      <x:c r="F225" s="26"/>
      <x:c r="G225" s="26"/>
      <x:c r="H225" s="26"/>
      <x:c r="I225" s="36"/>
      <x:c r="J225" s="26"/>
      <x:c r="K225" s="26"/>
      <x:c r="L225" s="26"/>
      <x:c r="M225" s="26"/>
      <x:c r="N225" s="26"/>
      <x:c r="O225" s="26"/>
      <x:c r="P225" s="26"/>
      <x:c r="Q225" s="26"/>
      <x:c r="R225" s="26"/>
      <x:c r="S225" s="26"/>
      <x:c r="T225" s="26"/>
      <x:c r="U225" s="26"/>
      <x:c r="V225" s="26"/>
      <x:c r="W225" s="26"/>
      <x:c r="X225" s="26"/>
      <x:c r="Y225" s="26"/>
      <x:c r="Z225" s="26"/>
    </x:row>
    <x:row r="226">
      <x:c r="A226" s="26"/>
      <x:c r="B226" s="26"/>
      <x:c r="C226" s="26"/>
      <x:c r="D226" s="26"/>
      <x:c r="E226" s="26"/>
      <x:c r="F226" s="26"/>
      <x:c r="G226" s="26"/>
      <x:c r="H226" s="26"/>
      <x:c r="I226" s="36"/>
      <x:c r="J226" s="26"/>
      <x:c r="K226" s="26"/>
      <x:c r="L226" s="26"/>
      <x:c r="M226" s="26"/>
      <x:c r="N226" s="26"/>
      <x:c r="O226" s="26"/>
      <x:c r="P226" s="26"/>
      <x:c r="Q226" s="26"/>
      <x:c r="R226" s="26"/>
      <x:c r="S226" s="26"/>
      <x:c r="T226" s="26"/>
      <x:c r="U226" s="26"/>
      <x:c r="V226" s="26"/>
      <x:c r="W226" s="26"/>
      <x:c r="X226" s="26"/>
      <x:c r="Y226" s="26"/>
      <x:c r="Z226" s="26"/>
    </x:row>
    <x:row r="227">
      <x:c r="A227" s="26"/>
      <x:c r="B227" s="26"/>
      <x:c r="C227" s="26"/>
      <x:c r="D227" s="26"/>
      <x:c r="E227" s="26"/>
      <x:c r="F227" s="26"/>
      <x:c r="G227" s="26"/>
      <x:c r="H227" s="26"/>
      <x:c r="I227" s="36"/>
      <x:c r="J227" s="26"/>
      <x:c r="K227" s="26"/>
      <x:c r="L227" s="26"/>
      <x:c r="M227" s="26"/>
      <x:c r="N227" s="26"/>
      <x:c r="O227" s="26"/>
      <x:c r="P227" s="26"/>
      <x:c r="Q227" s="26"/>
      <x:c r="R227" s="26"/>
      <x:c r="S227" s="26"/>
      <x:c r="T227" s="26"/>
      <x:c r="U227" s="26"/>
      <x:c r="V227" s="26"/>
      <x:c r="W227" s="26"/>
      <x:c r="X227" s="26"/>
      <x:c r="Y227" s="26"/>
      <x:c r="Z227" s="26"/>
    </x:row>
    <x:row r="228">
      <x:c r="A228" s="26"/>
      <x:c r="B228" s="26"/>
      <x:c r="C228" s="26"/>
      <x:c r="D228" s="26"/>
      <x:c r="E228" s="26"/>
      <x:c r="F228" s="26"/>
      <x:c r="G228" s="26"/>
      <x:c r="H228" s="26"/>
      <x:c r="I228" s="36"/>
      <x:c r="J228" s="26"/>
      <x:c r="K228" s="26"/>
      <x:c r="L228" s="26"/>
      <x:c r="M228" s="26"/>
      <x:c r="N228" s="26"/>
      <x:c r="O228" s="26"/>
      <x:c r="P228" s="26"/>
      <x:c r="Q228" s="26"/>
      <x:c r="R228" s="26"/>
      <x:c r="S228" s="26"/>
      <x:c r="T228" s="26"/>
      <x:c r="U228" s="26"/>
      <x:c r="V228" s="26"/>
      <x:c r="W228" s="26"/>
      <x:c r="X228" s="26"/>
      <x:c r="Y228" s="26"/>
      <x:c r="Z228" s="26"/>
    </x:row>
    <x:row r="229">
      <x:c r="A229" s="26"/>
      <x:c r="B229" s="26"/>
      <x:c r="C229" s="26"/>
      <x:c r="D229" s="26"/>
      <x:c r="E229" s="26"/>
      <x:c r="F229" s="26"/>
      <x:c r="G229" s="26"/>
      <x:c r="H229" s="26"/>
      <x:c r="I229" s="36"/>
      <x:c r="J229" s="26"/>
      <x:c r="K229" s="26"/>
      <x:c r="L229" s="26"/>
      <x:c r="M229" s="26"/>
      <x:c r="N229" s="26"/>
      <x:c r="O229" s="26"/>
      <x:c r="P229" s="26"/>
      <x:c r="Q229" s="26"/>
      <x:c r="R229" s="26"/>
      <x:c r="S229" s="26"/>
      <x:c r="T229" s="26"/>
      <x:c r="U229" s="26"/>
      <x:c r="V229" s="26"/>
      <x:c r="W229" s="26"/>
      <x:c r="X229" s="26"/>
      <x:c r="Y229" s="26"/>
      <x:c r="Z229" s="26"/>
    </x:row>
    <x:row r="230">
      <x:c r="A230" s="26"/>
      <x:c r="B230" s="26"/>
      <x:c r="C230" s="26"/>
      <x:c r="D230" s="26"/>
      <x:c r="E230" s="26"/>
      <x:c r="F230" s="26"/>
      <x:c r="G230" s="26"/>
      <x:c r="H230" s="26"/>
      <x:c r="I230" s="36"/>
      <x:c r="J230" s="26"/>
      <x:c r="K230" s="26"/>
      <x:c r="L230" s="26"/>
      <x:c r="M230" s="26"/>
      <x:c r="N230" s="26"/>
      <x:c r="O230" s="26"/>
      <x:c r="P230" s="26"/>
      <x:c r="Q230" s="26"/>
      <x:c r="R230" s="26"/>
      <x:c r="S230" s="26"/>
      <x:c r="T230" s="26"/>
      <x:c r="U230" s="26"/>
      <x:c r="V230" s="26"/>
      <x:c r="W230" s="26"/>
      <x:c r="X230" s="26"/>
      <x:c r="Y230" s="26"/>
      <x:c r="Z230" s="26"/>
    </x:row>
    <x:row r="231">
      <x:c r="A231" s="26"/>
      <x:c r="B231" s="26"/>
      <x:c r="C231" s="26"/>
      <x:c r="D231" s="26"/>
      <x:c r="E231" s="26"/>
      <x:c r="F231" s="26"/>
      <x:c r="G231" s="26"/>
      <x:c r="H231" s="26"/>
      <x:c r="I231" s="36"/>
      <x:c r="J231" s="26"/>
      <x:c r="K231" s="26"/>
      <x:c r="L231" s="26"/>
      <x:c r="M231" s="26"/>
      <x:c r="N231" s="26"/>
      <x:c r="O231" s="26"/>
      <x:c r="P231" s="26"/>
      <x:c r="Q231" s="26"/>
      <x:c r="R231" s="26"/>
      <x:c r="S231" s="26"/>
      <x:c r="T231" s="26"/>
      <x:c r="U231" s="26"/>
      <x:c r="V231" s="26"/>
      <x:c r="W231" s="26"/>
      <x:c r="X231" s="26"/>
      <x:c r="Y231" s="26"/>
      <x:c r="Z231" s="26"/>
    </x:row>
    <x:row r="232">
      <x:c r="A232" s="26"/>
      <x:c r="B232" s="26"/>
      <x:c r="C232" s="26"/>
      <x:c r="D232" s="26"/>
      <x:c r="E232" s="26"/>
      <x:c r="F232" s="26"/>
      <x:c r="G232" s="26"/>
      <x:c r="H232" s="26"/>
      <x:c r="I232" s="36"/>
      <x:c r="J232" s="26"/>
      <x:c r="K232" s="26"/>
      <x:c r="L232" s="26"/>
      <x:c r="M232" s="26"/>
      <x:c r="N232" s="26"/>
      <x:c r="O232" s="26"/>
      <x:c r="P232" s="26"/>
      <x:c r="Q232" s="26"/>
      <x:c r="R232" s="26"/>
      <x:c r="S232" s="26"/>
      <x:c r="T232" s="26"/>
      <x:c r="U232" s="26"/>
      <x:c r="V232" s="26"/>
      <x:c r="W232" s="26"/>
      <x:c r="X232" s="26"/>
      <x:c r="Y232" s="26"/>
      <x:c r="Z232" s="26"/>
    </x:row>
    <x:row r="233">
      <x:c r="A233" s="26"/>
      <x:c r="B233" s="26"/>
      <x:c r="C233" s="26"/>
      <x:c r="D233" s="26"/>
      <x:c r="E233" s="26"/>
      <x:c r="F233" s="26"/>
      <x:c r="G233" s="26"/>
      <x:c r="H233" s="26"/>
      <x:c r="I233" s="36"/>
      <x:c r="J233" s="26"/>
      <x:c r="K233" s="26"/>
      <x:c r="L233" s="26"/>
      <x:c r="M233" s="26"/>
      <x:c r="N233" s="26"/>
      <x:c r="O233" s="26"/>
      <x:c r="P233" s="26"/>
      <x:c r="Q233" s="26"/>
      <x:c r="R233" s="26"/>
      <x:c r="S233" s="26"/>
      <x:c r="T233" s="26"/>
      <x:c r="U233" s="26"/>
      <x:c r="V233" s="26"/>
      <x:c r="W233" s="26"/>
      <x:c r="X233" s="26"/>
      <x:c r="Y233" s="26"/>
      <x:c r="Z233" s="26"/>
    </x:row>
    <x:row r="234">
      <x:c r="A234" s="26"/>
      <x:c r="B234" s="26"/>
      <x:c r="C234" s="26"/>
      <x:c r="D234" s="26"/>
      <x:c r="E234" s="26"/>
      <x:c r="F234" s="26"/>
      <x:c r="G234" s="26"/>
      <x:c r="H234" s="26"/>
      <x:c r="I234" s="36"/>
      <x:c r="J234" s="26"/>
      <x:c r="K234" s="26"/>
      <x:c r="L234" s="26"/>
      <x:c r="M234" s="26"/>
      <x:c r="N234" s="26"/>
      <x:c r="O234" s="26"/>
      <x:c r="P234" s="26"/>
      <x:c r="Q234" s="26"/>
      <x:c r="R234" s="26"/>
      <x:c r="S234" s="26"/>
      <x:c r="T234" s="26"/>
      <x:c r="U234" s="26"/>
      <x:c r="V234" s="26"/>
      <x:c r="W234" s="26"/>
      <x:c r="X234" s="26"/>
      <x:c r="Y234" s="26"/>
      <x:c r="Z234" s="26"/>
    </x:row>
    <x:row r="235">
      <x:c r="A235" s="26"/>
      <x:c r="B235" s="26"/>
      <x:c r="C235" s="26"/>
      <x:c r="D235" s="26"/>
      <x:c r="E235" s="26"/>
      <x:c r="F235" s="26"/>
      <x:c r="G235" s="26"/>
      <x:c r="H235" s="26"/>
      <x:c r="I235" s="36"/>
      <x:c r="J235" s="26"/>
      <x:c r="K235" s="26"/>
      <x:c r="L235" s="26"/>
      <x:c r="M235" s="26"/>
      <x:c r="N235" s="26"/>
      <x:c r="O235" s="26"/>
      <x:c r="P235" s="26"/>
      <x:c r="Q235" s="26"/>
      <x:c r="R235" s="26"/>
      <x:c r="S235" s="26"/>
      <x:c r="T235" s="26"/>
      <x:c r="U235" s="26"/>
      <x:c r="V235" s="26"/>
      <x:c r="W235" s="26"/>
      <x:c r="X235" s="26"/>
      <x:c r="Y235" s="26"/>
      <x:c r="Z235" s="26"/>
    </x:row>
    <x:row r="236">
      <x:c r="A236" s="26"/>
      <x:c r="B236" s="26"/>
      <x:c r="C236" s="26"/>
      <x:c r="D236" s="26"/>
      <x:c r="E236" s="26"/>
      <x:c r="F236" s="26"/>
      <x:c r="G236" s="26"/>
      <x:c r="H236" s="26"/>
      <x:c r="I236" s="36"/>
      <x:c r="J236" s="26"/>
      <x:c r="K236" s="26"/>
      <x:c r="L236" s="26"/>
      <x:c r="M236" s="26"/>
      <x:c r="N236" s="26"/>
      <x:c r="O236" s="26"/>
      <x:c r="P236" s="26"/>
      <x:c r="Q236" s="26"/>
      <x:c r="R236" s="26"/>
      <x:c r="S236" s="26"/>
      <x:c r="T236" s="26"/>
      <x:c r="U236" s="26"/>
      <x:c r="V236" s="26"/>
      <x:c r="W236" s="26"/>
      <x:c r="X236" s="26"/>
      <x:c r="Y236" s="26"/>
      <x:c r="Z236" s="26"/>
    </x:row>
    <x:row r="237">
      <x:c r="A237" s="26"/>
      <x:c r="B237" s="26"/>
      <x:c r="C237" s="26"/>
      <x:c r="D237" s="26"/>
      <x:c r="E237" s="26"/>
      <x:c r="F237" s="26"/>
      <x:c r="G237" s="26"/>
      <x:c r="H237" s="26"/>
      <x:c r="I237" s="36"/>
      <x:c r="J237" s="26"/>
      <x:c r="K237" s="26"/>
      <x:c r="L237" s="26"/>
      <x:c r="M237" s="26"/>
      <x:c r="N237" s="26"/>
      <x:c r="O237" s="26"/>
      <x:c r="P237" s="26"/>
      <x:c r="Q237" s="26"/>
      <x:c r="R237" s="26"/>
      <x:c r="S237" s="26"/>
      <x:c r="T237" s="26"/>
      <x:c r="U237" s="26"/>
      <x:c r="V237" s="26"/>
      <x:c r="W237" s="26"/>
      <x:c r="X237" s="26"/>
      <x:c r="Y237" s="26"/>
      <x:c r="Z237" s="26"/>
    </x:row>
    <x:row r="238">
      <x:c r="A238" s="26"/>
      <x:c r="B238" s="26"/>
      <x:c r="C238" s="26"/>
      <x:c r="D238" s="26"/>
      <x:c r="E238" s="26"/>
      <x:c r="F238" s="26"/>
      <x:c r="G238" s="26"/>
      <x:c r="H238" s="26"/>
      <x:c r="I238" s="36"/>
      <x:c r="J238" s="26"/>
      <x:c r="K238" s="26"/>
      <x:c r="L238" s="26"/>
      <x:c r="M238" s="26"/>
      <x:c r="N238" s="26"/>
      <x:c r="O238" s="26"/>
      <x:c r="P238" s="26"/>
      <x:c r="Q238" s="26"/>
      <x:c r="R238" s="26"/>
      <x:c r="S238" s="26"/>
      <x:c r="T238" s="26"/>
      <x:c r="U238" s="26"/>
      <x:c r="V238" s="26"/>
      <x:c r="W238" s="26"/>
      <x:c r="X238" s="26"/>
      <x:c r="Y238" s="26"/>
      <x:c r="Z238" s="26"/>
    </x:row>
    <x:row r="239">
      <x:c r="A239" s="26"/>
      <x:c r="B239" s="26"/>
      <x:c r="C239" s="26"/>
      <x:c r="D239" s="26"/>
      <x:c r="E239" s="26"/>
      <x:c r="F239" s="26"/>
      <x:c r="G239" s="26"/>
      <x:c r="H239" s="26"/>
      <x:c r="I239" s="36"/>
      <x:c r="J239" s="26"/>
      <x:c r="K239" s="26"/>
      <x:c r="L239" s="26"/>
      <x:c r="M239" s="26"/>
      <x:c r="N239" s="26"/>
      <x:c r="O239" s="26"/>
      <x:c r="P239" s="26"/>
      <x:c r="Q239" s="26"/>
      <x:c r="R239" s="26"/>
      <x:c r="S239" s="26"/>
      <x:c r="T239" s="26"/>
      <x:c r="U239" s="26"/>
      <x:c r="V239" s="26"/>
      <x:c r="W239" s="26"/>
      <x:c r="X239" s="26"/>
      <x:c r="Y239" s="26"/>
      <x:c r="Z239" s="26"/>
    </x:row>
    <x:row r="240">
      <x:c r="A240" s="26"/>
      <x:c r="B240" s="26"/>
      <x:c r="C240" s="26"/>
      <x:c r="D240" s="26"/>
      <x:c r="E240" s="26"/>
      <x:c r="F240" s="26"/>
      <x:c r="G240" s="26"/>
      <x:c r="H240" s="26"/>
      <x:c r="I240" s="36"/>
      <x:c r="J240" s="26"/>
      <x:c r="K240" s="26"/>
      <x:c r="L240" s="26"/>
      <x:c r="M240" s="26"/>
      <x:c r="N240" s="26"/>
      <x:c r="O240" s="26"/>
      <x:c r="P240" s="26"/>
      <x:c r="Q240" s="26"/>
      <x:c r="R240" s="26"/>
      <x:c r="S240" s="26"/>
      <x:c r="T240" s="26"/>
      <x:c r="U240" s="26"/>
      <x:c r="V240" s="26"/>
      <x:c r="W240" s="26"/>
      <x:c r="X240" s="26"/>
      <x:c r="Y240" s="26"/>
      <x:c r="Z240" s="26"/>
    </x:row>
    <x:row r="241">
      <x:c r="A241" s="26"/>
      <x:c r="B241" s="26"/>
      <x:c r="C241" s="26"/>
      <x:c r="D241" s="26"/>
      <x:c r="E241" s="26"/>
      <x:c r="F241" s="26"/>
      <x:c r="G241" s="26"/>
      <x:c r="H241" s="26"/>
      <x:c r="I241" s="36"/>
      <x:c r="J241" s="26"/>
      <x:c r="K241" s="26"/>
      <x:c r="L241" s="26"/>
      <x:c r="M241" s="26"/>
      <x:c r="N241" s="26"/>
      <x:c r="O241" s="26"/>
      <x:c r="P241" s="26"/>
      <x:c r="Q241" s="26"/>
      <x:c r="R241" s="26"/>
      <x:c r="S241" s="26"/>
      <x:c r="T241" s="26"/>
      <x:c r="U241" s="26"/>
      <x:c r="V241" s="26"/>
      <x:c r="W241" s="26"/>
      <x:c r="X241" s="26"/>
      <x:c r="Y241" s="26"/>
      <x:c r="Z241" s="26"/>
    </x:row>
    <x:row r="242">
      <x:c r="A242" s="26"/>
      <x:c r="B242" s="26"/>
      <x:c r="C242" s="26"/>
      <x:c r="D242" s="26"/>
      <x:c r="E242" s="26"/>
      <x:c r="F242" s="26"/>
      <x:c r="G242" s="26"/>
      <x:c r="H242" s="26"/>
      <x:c r="I242" s="36"/>
      <x:c r="J242" s="26"/>
      <x:c r="K242" s="26"/>
      <x:c r="L242" s="26"/>
      <x:c r="M242" s="26"/>
      <x:c r="N242" s="26"/>
      <x:c r="O242" s="26"/>
      <x:c r="P242" s="26"/>
      <x:c r="Q242" s="26"/>
      <x:c r="R242" s="26"/>
      <x:c r="S242" s="26"/>
      <x:c r="T242" s="26"/>
      <x:c r="U242" s="26"/>
      <x:c r="V242" s="26"/>
      <x:c r="W242" s="26"/>
      <x:c r="X242" s="26"/>
      <x:c r="Y242" s="26"/>
      <x:c r="Z242" s="26"/>
    </x:row>
    <x:row r="243">
      <x:c r="A243" s="26"/>
      <x:c r="B243" s="26"/>
      <x:c r="C243" s="26"/>
      <x:c r="D243" s="26"/>
      <x:c r="E243" s="26"/>
      <x:c r="F243" s="26"/>
      <x:c r="G243" s="26"/>
      <x:c r="H243" s="26"/>
      <x:c r="I243" s="36"/>
      <x:c r="J243" s="26"/>
      <x:c r="K243" s="26"/>
      <x:c r="L243" s="26"/>
      <x:c r="M243" s="26"/>
      <x:c r="N243" s="26"/>
      <x:c r="O243" s="26"/>
      <x:c r="P243" s="26"/>
      <x:c r="Q243" s="26"/>
      <x:c r="R243" s="26"/>
      <x:c r="S243" s="26"/>
      <x:c r="T243" s="26"/>
      <x:c r="U243" s="26"/>
      <x:c r="V243" s="26"/>
      <x:c r="W243" s="26"/>
      <x:c r="X243" s="26"/>
      <x:c r="Y243" s="26"/>
      <x:c r="Z243" s="26"/>
    </x:row>
    <x:row r="244">
      <x:c r="A244" s="26"/>
      <x:c r="B244" s="26"/>
      <x:c r="C244" s="26"/>
      <x:c r="D244" s="26"/>
      <x:c r="E244" s="26"/>
      <x:c r="F244" s="26"/>
      <x:c r="G244" s="26"/>
      <x:c r="H244" s="26"/>
      <x:c r="I244" s="36"/>
      <x:c r="J244" s="26"/>
      <x:c r="K244" s="26"/>
      <x:c r="L244" s="26"/>
      <x:c r="M244" s="26"/>
      <x:c r="N244" s="26"/>
      <x:c r="O244" s="26"/>
      <x:c r="P244" s="26"/>
      <x:c r="Q244" s="26"/>
      <x:c r="R244" s="26"/>
      <x:c r="S244" s="26"/>
      <x:c r="T244" s="26"/>
      <x:c r="U244" s="26"/>
      <x:c r="V244" s="26"/>
      <x:c r="W244" s="26"/>
      <x:c r="X244" s="26"/>
      <x:c r="Y244" s="26"/>
      <x:c r="Z244" s="26"/>
    </x:row>
    <x:row r="245">
      <x:c r="A245" s="26"/>
      <x:c r="B245" s="26"/>
      <x:c r="C245" s="26"/>
      <x:c r="D245" s="26"/>
      <x:c r="E245" s="26"/>
      <x:c r="F245" s="26"/>
      <x:c r="G245" s="26"/>
      <x:c r="H245" s="26"/>
      <x:c r="I245" s="36"/>
      <x:c r="J245" s="26"/>
      <x:c r="K245" s="26"/>
      <x:c r="L245" s="26"/>
      <x:c r="M245" s="26"/>
      <x:c r="N245" s="26"/>
      <x:c r="O245" s="26"/>
      <x:c r="P245" s="26"/>
      <x:c r="Q245" s="26"/>
      <x:c r="R245" s="26"/>
      <x:c r="S245" s="26"/>
      <x:c r="T245" s="26"/>
      <x:c r="U245" s="26"/>
      <x:c r="V245" s="26"/>
      <x:c r="W245" s="26"/>
      <x:c r="X245" s="26"/>
      <x:c r="Y245" s="26"/>
      <x:c r="Z245" s="26"/>
    </x:row>
    <x:row r="246">
      <x:c r="A246" s="26"/>
      <x:c r="B246" s="26"/>
      <x:c r="C246" s="26"/>
      <x:c r="D246" s="26"/>
      <x:c r="E246" s="26"/>
      <x:c r="F246" s="26"/>
      <x:c r="G246" s="26"/>
      <x:c r="H246" s="26"/>
      <x:c r="I246" s="36"/>
      <x:c r="J246" s="26"/>
      <x:c r="K246" s="26"/>
      <x:c r="L246" s="26"/>
      <x:c r="M246" s="26"/>
      <x:c r="N246" s="26"/>
      <x:c r="O246" s="26"/>
      <x:c r="P246" s="26"/>
      <x:c r="Q246" s="26"/>
      <x:c r="R246" s="26"/>
      <x:c r="S246" s="26"/>
      <x:c r="T246" s="26"/>
      <x:c r="U246" s="26"/>
      <x:c r="V246" s="26"/>
      <x:c r="W246" s="26"/>
      <x:c r="X246" s="26"/>
      <x:c r="Y246" s="26"/>
      <x:c r="Z246" s="26"/>
    </x:row>
    <x:row r="247">
      <x:c r="A247" s="26"/>
      <x:c r="B247" s="26"/>
      <x:c r="C247" s="26"/>
      <x:c r="D247" s="26"/>
      <x:c r="E247" s="26"/>
      <x:c r="F247" s="26"/>
      <x:c r="G247" s="26"/>
      <x:c r="H247" s="26"/>
      <x:c r="I247" s="36"/>
      <x:c r="J247" s="26"/>
      <x:c r="K247" s="26"/>
      <x:c r="L247" s="26"/>
      <x:c r="M247" s="26"/>
      <x:c r="N247" s="26"/>
      <x:c r="O247" s="26"/>
      <x:c r="P247" s="26"/>
      <x:c r="Q247" s="26"/>
      <x:c r="R247" s="26"/>
      <x:c r="S247" s="26"/>
      <x:c r="T247" s="26"/>
      <x:c r="U247" s="26"/>
      <x:c r="V247" s="26"/>
      <x:c r="W247" s="26"/>
      <x:c r="X247" s="26"/>
      <x:c r="Y247" s="26"/>
      <x:c r="Z247" s="26"/>
    </x:row>
    <x:row r="248">
      <x:c r="A248" s="26"/>
      <x:c r="B248" s="26"/>
      <x:c r="C248" s="26"/>
      <x:c r="D248" s="26"/>
      <x:c r="E248" s="26"/>
      <x:c r="F248" s="26"/>
      <x:c r="G248" s="26"/>
      <x:c r="H248" s="26"/>
      <x:c r="I248" s="36"/>
      <x:c r="J248" s="26"/>
      <x:c r="K248" s="26"/>
      <x:c r="L248" s="26"/>
      <x:c r="M248" s="26"/>
      <x:c r="N248" s="26"/>
      <x:c r="O248" s="26"/>
      <x:c r="P248" s="26"/>
      <x:c r="Q248" s="26"/>
      <x:c r="R248" s="26"/>
      <x:c r="S248" s="26"/>
      <x:c r="T248" s="26"/>
      <x:c r="U248" s="26"/>
      <x:c r="V248" s="26"/>
      <x:c r="W248" s="26"/>
      <x:c r="X248" s="26"/>
      <x:c r="Y248" s="26"/>
      <x:c r="Z248" s="26"/>
    </x:row>
    <x:row r="249">
      <x:c r="A249" s="26"/>
      <x:c r="B249" s="26"/>
      <x:c r="C249" s="26"/>
      <x:c r="D249" s="26"/>
      <x:c r="E249" s="26"/>
      <x:c r="F249" s="26"/>
      <x:c r="G249" s="26"/>
      <x:c r="H249" s="26"/>
      <x:c r="I249" s="36"/>
      <x:c r="J249" s="26"/>
      <x:c r="K249" s="26"/>
      <x:c r="L249" s="26"/>
      <x:c r="M249" s="26"/>
      <x:c r="N249" s="26"/>
      <x:c r="O249" s="26"/>
      <x:c r="P249" s="26"/>
      <x:c r="Q249" s="26"/>
      <x:c r="R249" s="26"/>
      <x:c r="S249" s="26"/>
      <x:c r="T249" s="26"/>
      <x:c r="U249" s="26"/>
      <x:c r="V249" s="26"/>
      <x:c r="W249" s="26"/>
      <x:c r="X249" s="26"/>
      <x:c r="Y249" s="26"/>
      <x:c r="Z249" s="26"/>
    </x:row>
    <x:row r="250">
      <x:c r="A250" s="26"/>
      <x:c r="B250" s="26"/>
      <x:c r="C250" s="26"/>
      <x:c r="D250" s="26"/>
      <x:c r="E250" s="26"/>
      <x:c r="F250" s="26"/>
      <x:c r="G250" s="26"/>
      <x:c r="H250" s="26"/>
      <x:c r="I250" s="36"/>
      <x:c r="J250" s="26"/>
      <x:c r="K250" s="26"/>
      <x:c r="L250" s="26"/>
      <x:c r="M250" s="26"/>
      <x:c r="N250" s="26"/>
      <x:c r="O250" s="26"/>
      <x:c r="P250" s="26"/>
      <x:c r="Q250" s="26"/>
      <x:c r="R250" s="26"/>
      <x:c r="S250" s="26"/>
      <x:c r="T250" s="26"/>
      <x:c r="U250" s="26"/>
      <x:c r="V250" s="26"/>
      <x:c r="W250" s="26"/>
      <x:c r="X250" s="26"/>
      <x:c r="Y250" s="26"/>
      <x:c r="Z250" s="26"/>
    </x:row>
    <x:row r="251">
      <x:c r="A251" s="26"/>
      <x:c r="B251" s="26"/>
      <x:c r="C251" s="26"/>
      <x:c r="D251" s="26"/>
      <x:c r="E251" s="26"/>
      <x:c r="F251" s="26"/>
      <x:c r="G251" s="26"/>
      <x:c r="H251" s="26"/>
      <x:c r="I251" s="36"/>
      <x:c r="J251" s="26"/>
      <x:c r="K251" s="26"/>
      <x:c r="L251" s="26"/>
      <x:c r="M251" s="26"/>
      <x:c r="N251" s="26"/>
      <x:c r="O251" s="26"/>
      <x:c r="P251" s="26"/>
      <x:c r="Q251" s="26"/>
      <x:c r="R251" s="26"/>
      <x:c r="S251" s="26"/>
      <x:c r="T251" s="26"/>
      <x:c r="U251" s="26"/>
      <x:c r="V251" s="26"/>
      <x:c r="W251" s="26"/>
      <x:c r="X251" s="26"/>
      <x:c r="Y251" s="26"/>
      <x:c r="Z251" s="26"/>
    </x:row>
    <x:row r="252">
      <x:c r="A252" s="26"/>
      <x:c r="B252" s="26"/>
      <x:c r="C252" s="26"/>
      <x:c r="D252" s="26"/>
      <x:c r="E252" s="26"/>
      <x:c r="F252" s="26"/>
      <x:c r="G252" s="26"/>
      <x:c r="H252" s="26"/>
      <x:c r="I252" s="36"/>
      <x:c r="J252" s="26"/>
      <x:c r="K252" s="26"/>
      <x:c r="L252" s="26"/>
      <x:c r="M252" s="26"/>
      <x:c r="N252" s="26"/>
      <x:c r="O252" s="26"/>
      <x:c r="P252" s="26"/>
      <x:c r="Q252" s="26"/>
      <x:c r="R252" s="26"/>
      <x:c r="S252" s="26"/>
      <x:c r="T252" s="26"/>
      <x:c r="U252" s="26"/>
      <x:c r="V252" s="26"/>
      <x:c r="W252" s="26"/>
      <x:c r="X252" s="26"/>
      <x:c r="Y252" s="26"/>
      <x:c r="Z252" s="26"/>
    </x:row>
    <x:row r="253">
      <x:c r="A253" s="26"/>
      <x:c r="B253" s="26"/>
      <x:c r="C253" s="26"/>
      <x:c r="D253" s="26"/>
      <x:c r="E253" s="26"/>
      <x:c r="F253" s="26"/>
      <x:c r="G253" s="26"/>
      <x:c r="H253" s="26"/>
      <x:c r="I253" s="36"/>
      <x:c r="J253" s="26"/>
      <x:c r="K253" s="26"/>
      <x:c r="L253" s="26"/>
      <x:c r="M253" s="26"/>
      <x:c r="N253" s="26"/>
      <x:c r="O253" s="26"/>
      <x:c r="P253" s="26"/>
      <x:c r="Q253" s="26"/>
      <x:c r="R253" s="26"/>
      <x:c r="S253" s="26"/>
      <x:c r="T253" s="26"/>
      <x:c r="U253" s="26"/>
      <x:c r="V253" s="26"/>
      <x:c r="W253" s="26"/>
      <x:c r="X253" s="26"/>
      <x:c r="Y253" s="26"/>
      <x:c r="Z253" s="26"/>
    </x:row>
    <x:row r="254">
      <x:c r="A254" s="26"/>
      <x:c r="B254" s="26"/>
      <x:c r="C254" s="26"/>
      <x:c r="D254" s="26"/>
      <x:c r="E254" s="26"/>
      <x:c r="F254" s="26"/>
      <x:c r="G254" s="26"/>
      <x:c r="H254" s="26"/>
      <x:c r="I254" s="36"/>
      <x:c r="J254" s="26"/>
      <x:c r="K254" s="26"/>
      <x:c r="L254" s="26"/>
      <x:c r="M254" s="26"/>
      <x:c r="N254" s="26"/>
      <x:c r="O254" s="26"/>
      <x:c r="P254" s="26"/>
      <x:c r="Q254" s="26"/>
      <x:c r="R254" s="26"/>
      <x:c r="S254" s="26"/>
      <x:c r="T254" s="26"/>
      <x:c r="U254" s="26"/>
      <x:c r="V254" s="26"/>
      <x:c r="W254" s="26"/>
      <x:c r="X254" s="26"/>
      <x:c r="Y254" s="26"/>
      <x:c r="Z254" s="26"/>
    </x:row>
    <x:row r="255">
      <x:c r="A255" s="26"/>
      <x:c r="B255" s="26"/>
      <x:c r="C255" s="26"/>
      <x:c r="D255" s="26"/>
      <x:c r="E255" s="26"/>
      <x:c r="F255" s="26"/>
      <x:c r="G255" s="26"/>
      <x:c r="H255" s="26"/>
      <x:c r="I255" s="36"/>
      <x:c r="J255" s="26"/>
      <x:c r="K255" s="26"/>
      <x:c r="L255" s="26"/>
      <x:c r="M255" s="26"/>
      <x:c r="N255" s="26"/>
      <x:c r="O255" s="26"/>
      <x:c r="P255" s="26"/>
      <x:c r="Q255" s="26"/>
      <x:c r="R255" s="26"/>
      <x:c r="S255" s="26"/>
      <x:c r="T255" s="26"/>
      <x:c r="U255" s="26"/>
      <x:c r="V255" s="26"/>
      <x:c r="W255" s="26"/>
      <x:c r="X255" s="26"/>
      <x:c r="Y255" s="26"/>
      <x:c r="Z255" s="26"/>
    </x:row>
    <x:row r="256">
      <x:c r="A256" s="26"/>
      <x:c r="B256" s="26"/>
      <x:c r="C256" s="26"/>
      <x:c r="D256" s="26"/>
      <x:c r="E256" s="26"/>
      <x:c r="F256" s="26"/>
      <x:c r="G256" s="26"/>
      <x:c r="H256" s="26"/>
      <x:c r="I256" s="36"/>
      <x:c r="J256" s="26"/>
      <x:c r="K256" s="26"/>
      <x:c r="L256" s="26"/>
      <x:c r="M256" s="26"/>
      <x:c r="N256" s="26"/>
      <x:c r="O256" s="26"/>
      <x:c r="P256" s="26"/>
      <x:c r="Q256" s="26"/>
      <x:c r="R256" s="26"/>
      <x:c r="S256" s="26"/>
      <x:c r="T256" s="26"/>
      <x:c r="U256" s="26"/>
      <x:c r="V256" s="26"/>
      <x:c r="W256" s="26"/>
      <x:c r="X256" s="26"/>
      <x:c r="Y256" s="26"/>
      <x:c r="Z256" s="26"/>
    </x:row>
    <x:row r="257">
      <x:c r="A257" s="26"/>
      <x:c r="B257" s="26"/>
      <x:c r="C257" s="26"/>
      <x:c r="D257" s="26"/>
      <x:c r="E257" s="26"/>
      <x:c r="F257" s="26"/>
      <x:c r="G257" s="26"/>
      <x:c r="H257" s="26"/>
      <x:c r="I257" s="36"/>
      <x:c r="J257" s="26"/>
      <x:c r="K257" s="26"/>
      <x:c r="L257" s="26"/>
      <x:c r="M257" s="26"/>
      <x:c r="N257" s="26"/>
      <x:c r="O257" s="26"/>
      <x:c r="P257" s="26"/>
      <x:c r="Q257" s="26"/>
      <x:c r="R257" s="26"/>
      <x:c r="S257" s="26"/>
      <x:c r="T257" s="26"/>
      <x:c r="U257" s="26"/>
      <x:c r="V257" s="26"/>
      <x:c r="W257" s="26"/>
      <x:c r="X257" s="26"/>
      <x:c r="Y257" s="26"/>
      <x:c r="Z257" s="26"/>
    </x:row>
    <x:row r="258">
      <x:c r="A258" s="26"/>
      <x:c r="B258" s="26"/>
      <x:c r="C258" s="26"/>
      <x:c r="D258" s="26"/>
      <x:c r="E258" s="26"/>
      <x:c r="F258" s="26"/>
      <x:c r="G258" s="26"/>
      <x:c r="H258" s="26"/>
      <x:c r="I258" s="36"/>
      <x:c r="J258" s="26"/>
      <x:c r="K258" s="26"/>
      <x:c r="L258" s="26"/>
      <x:c r="M258" s="26"/>
      <x:c r="N258" s="26"/>
      <x:c r="O258" s="26"/>
      <x:c r="P258" s="26"/>
      <x:c r="Q258" s="26"/>
      <x:c r="R258" s="26"/>
      <x:c r="S258" s="26"/>
      <x:c r="T258" s="26"/>
      <x:c r="U258" s="26"/>
      <x:c r="V258" s="26"/>
      <x:c r="W258" s="26"/>
      <x:c r="X258" s="26"/>
      <x:c r="Y258" s="26"/>
      <x:c r="Z258" s="26"/>
    </x:row>
    <x:row r="259">
      <x:c r="A259" s="26"/>
      <x:c r="B259" s="26"/>
      <x:c r="C259" s="26"/>
      <x:c r="D259" s="26"/>
      <x:c r="E259" s="26"/>
      <x:c r="F259" s="26"/>
      <x:c r="G259" s="26"/>
      <x:c r="H259" s="26"/>
      <x:c r="I259" s="36"/>
      <x:c r="J259" s="26"/>
      <x:c r="K259" s="26"/>
      <x:c r="L259" s="26"/>
      <x:c r="M259" s="26"/>
      <x:c r="N259" s="26"/>
      <x:c r="O259" s="26"/>
      <x:c r="P259" s="26"/>
      <x:c r="Q259" s="26"/>
      <x:c r="R259" s="26"/>
      <x:c r="S259" s="26"/>
      <x:c r="T259" s="26"/>
      <x:c r="U259" s="26"/>
      <x:c r="V259" s="26"/>
      <x:c r="W259" s="26"/>
      <x:c r="X259" s="26"/>
      <x:c r="Y259" s="26"/>
      <x:c r="Z259" s="26"/>
    </x:row>
    <x:row r="260">
      <x:c r="A260" s="26"/>
      <x:c r="B260" s="26"/>
      <x:c r="C260" s="26"/>
      <x:c r="D260" s="26"/>
      <x:c r="E260" s="26"/>
      <x:c r="F260" s="26"/>
      <x:c r="G260" s="26"/>
      <x:c r="H260" s="26"/>
      <x:c r="I260" s="36"/>
      <x:c r="J260" s="26"/>
      <x:c r="K260" s="26"/>
      <x:c r="L260" s="26"/>
      <x:c r="M260" s="26"/>
      <x:c r="N260" s="26"/>
      <x:c r="O260" s="26"/>
      <x:c r="P260" s="26"/>
      <x:c r="Q260" s="26"/>
      <x:c r="R260" s="26"/>
      <x:c r="S260" s="26"/>
      <x:c r="T260" s="26"/>
      <x:c r="U260" s="26"/>
      <x:c r="V260" s="26"/>
      <x:c r="W260" s="26"/>
      <x:c r="X260" s="26"/>
      <x:c r="Y260" s="26"/>
      <x:c r="Z260" s="26"/>
    </x:row>
    <x:row r="261">
      <x:c r="A261" s="26"/>
      <x:c r="B261" s="26"/>
      <x:c r="C261" s="26"/>
      <x:c r="D261" s="26"/>
      <x:c r="E261" s="26"/>
      <x:c r="F261" s="26"/>
      <x:c r="G261" s="26"/>
      <x:c r="H261" s="26"/>
      <x:c r="I261" s="36"/>
      <x:c r="J261" s="26"/>
      <x:c r="K261" s="26"/>
      <x:c r="L261" s="26"/>
      <x:c r="M261" s="26"/>
      <x:c r="N261" s="26"/>
      <x:c r="O261" s="26"/>
      <x:c r="P261" s="26"/>
      <x:c r="Q261" s="26"/>
      <x:c r="R261" s="26"/>
      <x:c r="S261" s="26"/>
      <x:c r="T261" s="26"/>
      <x:c r="U261" s="26"/>
      <x:c r="V261" s="26"/>
      <x:c r="W261" s="26"/>
      <x:c r="X261" s="26"/>
      <x:c r="Y261" s="26"/>
      <x:c r="Z261" s="26"/>
    </x:row>
    <x:row r="262">
      <x:c r="A262" s="26"/>
      <x:c r="B262" s="26"/>
      <x:c r="C262" s="26"/>
      <x:c r="D262" s="26"/>
      <x:c r="E262" s="26"/>
      <x:c r="F262" s="26"/>
      <x:c r="G262" s="26"/>
      <x:c r="H262" s="26"/>
      <x:c r="I262" s="36"/>
      <x:c r="J262" s="26"/>
      <x:c r="K262" s="26"/>
      <x:c r="L262" s="26"/>
      <x:c r="M262" s="26"/>
      <x:c r="N262" s="26"/>
      <x:c r="O262" s="26"/>
      <x:c r="P262" s="26"/>
      <x:c r="Q262" s="26"/>
      <x:c r="R262" s="26"/>
      <x:c r="S262" s="26"/>
      <x:c r="T262" s="26"/>
      <x:c r="U262" s="26"/>
      <x:c r="V262" s="26"/>
      <x:c r="W262" s="26"/>
      <x:c r="X262" s="26"/>
      <x:c r="Y262" s="26"/>
      <x:c r="Z262" s="26"/>
    </x:row>
    <x:row r="263">
      <x:c r="A263" s="26"/>
      <x:c r="B263" s="26"/>
      <x:c r="C263" s="26"/>
      <x:c r="D263" s="26"/>
      <x:c r="E263" s="26"/>
      <x:c r="F263" s="26"/>
      <x:c r="G263" s="26"/>
      <x:c r="H263" s="26"/>
      <x:c r="I263" s="36"/>
      <x:c r="J263" s="26"/>
      <x:c r="K263" s="26"/>
      <x:c r="L263" s="26"/>
      <x:c r="M263" s="26"/>
      <x:c r="N263" s="26"/>
      <x:c r="O263" s="26"/>
      <x:c r="P263" s="26"/>
      <x:c r="Q263" s="26"/>
      <x:c r="R263" s="26"/>
      <x:c r="S263" s="26"/>
      <x:c r="T263" s="26"/>
      <x:c r="U263" s="26"/>
      <x:c r="V263" s="26"/>
      <x:c r="W263" s="26"/>
      <x:c r="X263" s="26"/>
      <x:c r="Y263" s="26"/>
      <x:c r="Z263" s="26"/>
    </x:row>
    <x:row r="264">
      <x:c r="A264" s="26"/>
      <x:c r="B264" s="26"/>
      <x:c r="C264" s="26"/>
      <x:c r="D264" s="26"/>
      <x:c r="E264" s="26"/>
      <x:c r="F264" s="26"/>
      <x:c r="G264" s="26"/>
      <x:c r="H264" s="26"/>
      <x:c r="I264" s="36"/>
      <x:c r="J264" s="26"/>
      <x:c r="K264" s="26"/>
      <x:c r="L264" s="26"/>
      <x:c r="M264" s="26"/>
      <x:c r="N264" s="26"/>
      <x:c r="O264" s="26"/>
      <x:c r="P264" s="26"/>
      <x:c r="Q264" s="26"/>
      <x:c r="R264" s="26"/>
      <x:c r="S264" s="26"/>
      <x:c r="T264" s="26"/>
      <x:c r="U264" s="26"/>
      <x:c r="V264" s="26"/>
      <x:c r="W264" s="26"/>
      <x:c r="X264" s="26"/>
      <x:c r="Y264" s="26"/>
      <x:c r="Z264" s="26"/>
    </x:row>
    <x:row r="265">
      <x:c r="A265" s="26"/>
      <x:c r="B265" s="26"/>
      <x:c r="C265" s="26"/>
      <x:c r="D265" s="26"/>
      <x:c r="E265" s="26"/>
      <x:c r="F265" s="26"/>
      <x:c r="G265" s="26"/>
      <x:c r="H265" s="26"/>
      <x:c r="I265" s="36"/>
      <x:c r="J265" s="26"/>
      <x:c r="K265" s="26"/>
      <x:c r="L265" s="26"/>
      <x:c r="M265" s="26"/>
      <x:c r="N265" s="26"/>
      <x:c r="O265" s="26"/>
      <x:c r="P265" s="26"/>
      <x:c r="Q265" s="26"/>
      <x:c r="R265" s="26"/>
      <x:c r="S265" s="26"/>
      <x:c r="T265" s="26"/>
      <x:c r="U265" s="26"/>
      <x:c r="V265" s="26"/>
      <x:c r="W265" s="26"/>
      <x:c r="X265" s="26"/>
      <x:c r="Y265" s="26"/>
      <x:c r="Z265" s="26"/>
    </x:row>
    <x:row r="266">
      <x:c r="A266" s="26"/>
      <x:c r="B266" s="26"/>
      <x:c r="C266" s="26"/>
      <x:c r="D266" s="26"/>
      <x:c r="E266" s="26"/>
      <x:c r="F266" s="26"/>
      <x:c r="G266" s="26"/>
      <x:c r="H266" s="26"/>
      <x:c r="I266" s="36"/>
      <x:c r="J266" s="26"/>
      <x:c r="K266" s="26"/>
      <x:c r="L266" s="26"/>
      <x:c r="M266" s="26"/>
      <x:c r="N266" s="26"/>
      <x:c r="O266" s="26"/>
      <x:c r="P266" s="26"/>
      <x:c r="Q266" s="26"/>
      <x:c r="R266" s="26"/>
      <x:c r="S266" s="26"/>
      <x:c r="T266" s="26"/>
      <x:c r="U266" s="26"/>
      <x:c r="V266" s="26"/>
      <x:c r="W266" s="26"/>
      <x:c r="X266" s="26"/>
      <x:c r="Y266" s="26"/>
      <x:c r="Z266" s="26"/>
    </x:row>
    <x:row r="267">
      <x:c r="A267" s="26"/>
      <x:c r="B267" s="26"/>
      <x:c r="C267" s="26"/>
      <x:c r="D267" s="26"/>
      <x:c r="E267" s="26"/>
      <x:c r="F267" s="26"/>
      <x:c r="G267" s="26"/>
      <x:c r="H267" s="26"/>
      <x:c r="I267" s="36"/>
      <x:c r="J267" s="26"/>
      <x:c r="K267" s="26"/>
      <x:c r="L267" s="26"/>
      <x:c r="M267" s="26"/>
      <x:c r="N267" s="26"/>
      <x:c r="O267" s="26"/>
      <x:c r="P267" s="26"/>
      <x:c r="Q267" s="26"/>
      <x:c r="R267" s="26"/>
      <x:c r="S267" s="26"/>
      <x:c r="T267" s="26"/>
      <x:c r="U267" s="26"/>
      <x:c r="V267" s="26"/>
      <x:c r="W267" s="26"/>
      <x:c r="X267" s="26"/>
      <x:c r="Y267" s="26"/>
      <x:c r="Z267" s="26"/>
    </x:row>
    <x:row r="268">
      <x:c r="A268" s="26"/>
      <x:c r="B268" s="26"/>
      <x:c r="C268" s="26"/>
      <x:c r="D268" s="26"/>
      <x:c r="E268" s="26"/>
      <x:c r="F268" s="26"/>
      <x:c r="G268" s="26"/>
      <x:c r="H268" s="26"/>
      <x:c r="I268" s="36"/>
      <x:c r="J268" s="26"/>
      <x:c r="K268" s="26"/>
      <x:c r="L268" s="26"/>
      <x:c r="M268" s="26"/>
      <x:c r="N268" s="26"/>
      <x:c r="O268" s="26"/>
      <x:c r="P268" s="26"/>
      <x:c r="Q268" s="26"/>
      <x:c r="R268" s="26"/>
      <x:c r="S268" s="26"/>
      <x:c r="T268" s="26"/>
      <x:c r="U268" s="26"/>
      <x:c r="V268" s="26"/>
      <x:c r="W268" s="26"/>
      <x:c r="X268" s="26"/>
      <x:c r="Y268" s="26"/>
      <x:c r="Z268" s="26"/>
    </x:row>
    <x:row r="269">
      <x:c r="A269" s="26"/>
      <x:c r="B269" s="26"/>
      <x:c r="C269" s="26"/>
      <x:c r="D269" s="26"/>
      <x:c r="E269" s="26"/>
      <x:c r="F269" s="26"/>
      <x:c r="G269" s="26"/>
      <x:c r="H269" s="26"/>
      <x:c r="I269" s="36"/>
      <x:c r="J269" s="26"/>
      <x:c r="K269" s="26"/>
      <x:c r="L269" s="26"/>
      <x:c r="M269" s="26"/>
      <x:c r="N269" s="26"/>
      <x:c r="O269" s="26"/>
      <x:c r="P269" s="26"/>
      <x:c r="Q269" s="26"/>
      <x:c r="R269" s="26"/>
      <x:c r="S269" s="26"/>
      <x:c r="T269" s="26"/>
      <x:c r="U269" s="26"/>
      <x:c r="V269" s="26"/>
      <x:c r="W269" s="26"/>
      <x:c r="X269" s="26"/>
      <x:c r="Y269" s="26"/>
      <x:c r="Z269" s="26"/>
    </x:row>
    <x:row r="270">
      <x:c r="A270" s="26"/>
      <x:c r="B270" s="26"/>
      <x:c r="C270" s="26"/>
      <x:c r="D270" s="26"/>
      <x:c r="E270" s="26"/>
      <x:c r="F270" s="26"/>
      <x:c r="G270" s="26"/>
      <x:c r="H270" s="26"/>
      <x:c r="I270" s="36"/>
      <x:c r="J270" s="26"/>
      <x:c r="K270" s="26"/>
      <x:c r="L270" s="26"/>
      <x:c r="M270" s="26"/>
      <x:c r="N270" s="26"/>
      <x:c r="O270" s="26"/>
      <x:c r="P270" s="26"/>
      <x:c r="Q270" s="26"/>
      <x:c r="R270" s="26"/>
      <x:c r="S270" s="26"/>
      <x:c r="T270" s="26"/>
      <x:c r="U270" s="26"/>
      <x:c r="V270" s="26"/>
      <x:c r="W270" s="26"/>
      <x:c r="X270" s="26"/>
      <x:c r="Y270" s="26"/>
      <x:c r="Z270" s="26"/>
    </x:row>
    <x:row r="271">
      <x:c r="A271" s="26"/>
      <x:c r="B271" s="26"/>
      <x:c r="C271" s="26"/>
      <x:c r="D271" s="26"/>
      <x:c r="E271" s="26"/>
      <x:c r="F271" s="26"/>
      <x:c r="G271" s="26"/>
      <x:c r="H271" s="26"/>
      <x:c r="I271" s="36"/>
      <x:c r="J271" s="26"/>
      <x:c r="K271" s="26"/>
      <x:c r="L271" s="26"/>
      <x:c r="M271" s="26"/>
      <x:c r="N271" s="26"/>
      <x:c r="O271" s="26"/>
      <x:c r="P271" s="26"/>
      <x:c r="Q271" s="26"/>
      <x:c r="R271" s="26"/>
      <x:c r="S271" s="26"/>
      <x:c r="T271" s="26"/>
      <x:c r="U271" s="26"/>
      <x:c r="V271" s="26"/>
      <x:c r="W271" s="26"/>
      <x:c r="X271" s="26"/>
      <x:c r="Y271" s="26"/>
      <x:c r="Z271" s="26"/>
    </x:row>
    <x:row r="272">
      <x:c r="A272" s="26"/>
      <x:c r="B272" s="26"/>
      <x:c r="C272" s="26"/>
      <x:c r="D272" s="26"/>
      <x:c r="E272" s="26"/>
      <x:c r="F272" s="26"/>
      <x:c r="G272" s="26"/>
      <x:c r="H272" s="26"/>
      <x:c r="I272" s="36"/>
      <x:c r="J272" s="26"/>
      <x:c r="K272" s="26"/>
      <x:c r="L272" s="26"/>
      <x:c r="M272" s="26"/>
      <x:c r="N272" s="26"/>
      <x:c r="O272" s="26"/>
      <x:c r="P272" s="26"/>
      <x:c r="Q272" s="26"/>
      <x:c r="R272" s="26"/>
      <x:c r="S272" s="26"/>
      <x:c r="T272" s="26"/>
      <x:c r="U272" s="26"/>
      <x:c r="V272" s="26"/>
      <x:c r="W272" s="26"/>
      <x:c r="X272" s="26"/>
      <x:c r="Y272" s="26"/>
      <x:c r="Z272" s="26"/>
    </x:row>
    <x:row r="273">
      <x:c r="A273" s="26"/>
      <x:c r="B273" s="26"/>
      <x:c r="C273" s="26"/>
      <x:c r="D273" s="26"/>
      <x:c r="E273" s="26"/>
      <x:c r="F273" s="26"/>
      <x:c r="G273" s="26"/>
      <x:c r="H273" s="26"/>
      <x:c r="I273" s="36"/>
      <x:c r="J273" s="26"/>
      <x:c r="K273" s="26"/>
      <x:c r="L273" s="26"/>
      <x:c r="M273" s="26"/>
      <x:c r="N273" s="26"/>
      <x:c r="O273" s="26"/>
      <x:c r="P273" s="26"/>
      <x:c r="Q273" s="26"/>
      <x:c r="R273" s="26"/>
      <x:c r="S273" s="26"/>
      <x:c r="T273" s="26"/>
      <x:c r="U273" s="26"/>
      <x:c r="V273" s="26"/>
      <x:c r="W273" s="26"/>
      <x:c r="X273" s="26"/>
      <x:c r="Y273" s="26"/>
      <x:c r="Z273" s="26"/>
    </x:row>
    <x:row r="274">
      <x:c r="A274" s="26"/>
      <x:c r="B274" s="26"/>
      <x:c r="C274" s="26"/>
      <x:c r="D274" s="26"/>
      <x:c r="E274" s="26"/>
      <x:c r="F274" s="26"/>
      <x:c r="G274" s="26"/>
      <x:c r="H274" s="26"/>
      <x:c r="I274" s="36"/>
      <x:c r="J274" s="26"/>
      <x:c r="K274" s="26"/>
      <x:c r="L274" s="26"/>
      <x:c r="M274" s="26"/>
      <x:c r="N274" s="26"/>
      <x:c r="O274" s="26"/>
      <x:c r="P274" s="26"/>
      <x:c r="Q274" s="26"/>
      <x:c r="R274" s="26"/>
      <x:c r="S274" s="26"/>
      <x:c r="T274" s="26"/>
      <x:c r="U274" s="26"/>
      <x:c r="V274" s="26"/>
      <x:c r="W274" s="26"/>
      <x:c r="X274" s="26"/>
      <x:c r="Y274" s="26"/>
      <x:c r="Z274" s="26"/>
    </x:row>
    <x:row r="275">
      <x:c r="A275" s="26"/>
      <x:c r="B275" s="26"/>
      <x:c r="C275" s="26"/>
      <x:c r="D275" s="26"/>
      <x:c r="E275" s="26"/>
      <x:c r="F275" s="26"/>
      <x:c r="G275" s="26"/>
      <x:c r="H275" s="26"/>
      <x:c r="I275" s="36"/>
      <x:c r="J275" s="26"/>
      <x:c r="K275" s="26"/>
      <x:c r="L275" s="26"/>
      <x:c r="M275" s="26"/>
      <x:c r="N275" s="26"/>
      <x:c r="O275" s="26"/>
      <x:c r="P275" s="26"/>
      <x:c r="Q275" s="26"/>
      <x:c r="R275" s="26"/>
      <x:c r="S275" s="26"/>
      <x:c r="T275" s="26"/>
      <x:c r="U275" s="26"/>
      <x:c r="V275" s="26"/>
      <x:c r="W275" s="26"/>
      <x:c r="X275" s="26"/>
      <x:c r="Y275" s="26"/>
      <x:c r="Z275" s="26"/>
    </x:row>
    <x:row r="276">
      <x:c r="A276" s="26"/>
      <x:c r="B276" s="26"/>
      <x:c r="C276" s="26"/>
      <x:c r="D276" s="26"/>
      <x:c r="E276" s="26"/>
      <x:c r="F276" s="26"/>
      <x:c r="G276" s="26"/>
      <x:c r="H276" s="26"/>
      <x:c r="I276" s="36"/>
      <x:c r="J276" s="26"/>
      <x:c r="K276" s="26"/>
      <x:c r="L276" s="26"/>
      <x:c r="M276" s="26"/>
      <x:c r="N276" s="26"/>
      <x:c r="O276" s="26"/>
      <x:c r="P276" s="26"/>
      <x:c r="Q276" s="26"/>
      <x:c r="R276" s="26"/>
      <x:c r="S276" s="26"/>
      <x:c r="T276" s="26"/>
      <x:c r="U276" s="26"/>
      <x:c r="V276" s="26"/>
      <x:c r="W276" s="26"/>
      <x:c r="X276" s="26"/>
      <x:c r="Y276" s="26"/>
      <x:c r="Z276" s="26"/>
    </x:row>
    <x:row r="277">
      <x:c r="A277" s="26"/>
      <x:c r="B277" s="26"/>
      <x:c r="C277" s="26"/>
      <x:c r="D277" s="26"/>
      <x:c r="E277" s="26"/>
      <x:c r="F277" s="26"/>
      <x:c r="G277" s="26"/>
      <x:c r="H277" s="26"/>
      <x:c r="I277" s="36"/>
      <x:c r="J277" s="26"/>
      <x:c r="K277" s="26"/>
      <x:c r="L277" s="26"/>
      <x:c r="M277" s="26"/>
      <x:c r="N277" s="26"/>
      <x:c r="O277" s="26"/>
      <x:c r="P277" s="26"/>
      <x:c r="Q277" s="26"/>
      <x:c r="R277" s="26"/>
      <x:c r="S277" s="26"/>
      <x:c r="T277" s="26"/>
      <x:c r="U277" s="26"/>
      <x:c r="V277" s="26"/>
      <x:c r="W277" s="26"/>
      <x:c r="X277" s="26"/>
      <x:c r="Y277" s="26"/>
      <x:c r="Z277" s="26"/>
    </x:row>
    <x:row r="278">
      <x:c r="A278" s="26"/>
      <x:c r="B278" s="26"/>
      <x:c r="C278" s="26"/>
      <x:c r="D278" s="26"/>
      <x:c r="E278" s="26"/>
      <x:c r="F278" s="26"/>
      <x:c r="G278" s="26"/>
      <x:c r="H278" s="26"/>
      <x:c r="I278" s="36"/>
      <x:c r="J278" s="26"/>
      <x:c r="K278" s="26"/>
      <x:c r="L278" s="26"/>
      <x:c r="M278" s="26"/>
      <x:c r="N278" s="26"/>
      <x:c r="O278" s="26"/>
      <x:c r="P278" s="26"/>
      <x:c r="Q278" s="26"/>
      <x:c r="R278" s="26"/>
      <x:c r="S278" s="26"/>
      <x:c r="T278" s="26"/>
      <x:c r="U278" s="26"/>
      <x:c r="V278" s="26"/>
      <x:c r="W278" s="26"/>
      <x:c r="X278" s="26"/>
      <x:c r="Y278" s="26"/>
      <x:c r="Z278" s="26"/>
    </x:row>
    <x:row r="279">
      <x:c r="A279" s="26"/>
      <x:c r="B279" s="26"/>
      <x:c r="C279" s="26"/>
      <x:c r="D279" s="26"/>
      <x:c r="E279" s="26"/>
      <x:c r="F279" s="26"/>
      <x:c r="G279" s="26"/>
      <x:c r="H279" s="26"/>
      <x:c r="I279" s="36"/>
      <x:c r="J279" s="26"/>
      <x:c r="K279" s="26"/>
      <x:c r="L279" s="26"/>
      <x:c r="M279" s="26"/>
      <x:c r="N279" s="26"/>
      <x:c r="O279" s="26"/>
      <x:c r="P279" s="26"/>
      <x:c r="Q279" s="26"/>
      <x:c r="R279" s="26"/>
      <x:c r="S279" s="26"/>
      <x:c r="T279" s="26"/>
      <x:c r="U279" s="26"/>
      <x:c r="V279" s="26"/>
      <x:c r="W279" s="26"/>
      <x:c r="X279" s="26"/>
      <x:c r="Y279" s="26"/>
      <x:c r="Z279" s="26"/>
    </x:row>
    <x:row r="280">
      <x:c r="A280" s="26"/>
      <x:c r="B280" s="26"/>
      <x:c r="C280" s="26"/>
      <x:c r="D280" s="26"/>
      <x:c r="E280" s="26"/>
      <x:c r="F280" s="26"/>
      <x:c r="G280" s="26"/>
      <x:c r="H280" s="26"/>
      <x:c r="I280" s="36"/>
      <x:c r="J280" s="26"/>
      <x:c r="K280" s="26"/>
      <x:c r="L280" s="26"/>
      <x:c r="M280" s="26"/>
      <x:c r="N280" s="26"/>
      <x:c r="O280" s="26"/>
      <x:c r="P280" s="26"/>
      <x:c r="Q280" s="26"/>
      <x:c r="R280" s="26"/>
      <x:c r="S280" s="26"/>
      <x:c r="T280" s="26"/>
      <x:c r="U280" s="26"/>
      <x:c r="V280" s="26"/>
      <x:c r="W280" s="26"/>
      <x:c r="X280" s="26"/>
      <x:c r="Y280" s="26"/>
      <x:c r="Z280" s="26"/>
    </x:row>
    <x:row r="281">
      <x:c r="A281" s="26"/>
      <x:c r="B281" s="26"/>
      <x:c r="C281" s="26"/>
      <x:c r="D281" s="26"/>
      <x:c r="E281" s="26"/>
      <x:c r="F281" s="26"/>
      <x:c r="G281" s="26"/>
      <x:c r="H281" s="26"/>
      <x:c r="I281" s="36"/>
      <x:c r="J281" s="26"/>
      <x:c r="K281" s="26"/>
      <x:c r="L281" s="26"/>
      <x:c r="M281" s="26"/>
      <x:c r="N281" s="26"/>
      <x:c r="O281" s="26"/>
      <x:c r="P281" s="26"/>
      <x:c r="Q281" s="26"/>
      <x:c r="R281" s="26"/>
      <x:c r="S281" s="26"/>
      <x:c r="T281" s="26"/>
      <x:c r="U281" s="26"/>
      <x:c r="V281" s="26"/>
      <x:c r="W281" s="26"/>
      <x:c r="X281" s="26"/>
      <x:c r="Y281" s="26"/>
      <x:c r="Z281" s="26"/>
    </x:row>
    <x:row r="282">
      <x:c r="A282" s="26"/>
      <x:c r="B282" s="26"/>
      <x:c r="C282" s="26"/>
      <x:c r="D282" s="26"/>
      <x:c r="E282" s="26"/>
      <x:c r="F282" s="26"/>
      <x:c r="G282" s="26"/>
      <x:c r="H282" s="26"/>
      <x:c r="I282" s="36"/>
      <x:c r="J282" s="26"/>
      <x:c r="K282" s="26"/>
      <x:c r="L282" s="26"/>
      <x:c r="M282" s="26"/>
      <x:c r="N282" s="26"/>
      <x:c r="O282" s="26"/>
      <x:c r="P282" s="26"/>
      <x:c r="Q282" s="26"/>
      <x:c r="R282" s="26"/>
      <x:c r="S282" s="26"/>
      <x:c r="T282" s="26"/>
      <x:c r="U282" s="26"/>
      <x:c r="V282" s="26"/>
      <x:c r="W282" s="26"/>
      <x:c r="X282" s="26"/>
      <x:c r="Y282" s="26"/>
      <x:c r="Z282" s="26"/>
    </x:row>
    <x:row r="283">
      <x:c r="A283" s="26"/>
      <x:c r="B283" s="26"/>
      <x:c r="C283" s="26"/>
      <x:c r="D283" s="26"/>
      <x:c r="E283" s="26"/>
      <x:c r="F283" s="26"/>
      <x:c r="G283" s="26"/>
      <x:c r="H283" s="26"/>
      <x:c r="I283" s="36"/>
      <x:c r="J283" s="26"/>
      <x:c r="K283" s="26"/>
      <x:c r="L283" s="26"/>
      <x:c r="M283" s="26"/>
      <x:c r="N283" s="26"/>
      <x:c r="O283" s="26"/>
      <x:c r="P283" s="26"/>
      <x:c r="Q283" s="26"/>
      <x:c r="R283" s="26"/>
      <x:c r="S283" s="26"/>
      <x:c r="T283" s="26"/>
      <x:c r="U283" s="26"/>
      <x:c r="V283" s="26"/>
      <x:c r="W283" s="26"/>
      <x:c r="X283" s="26"/>
      <x:c r="Y283" s="26"/>
      <x:c r="Z283" s="26"/>
    </x:row>
    <x:row r="284">
      <x:c r="A284" s="26"/>
      <x:c r="B284" s="26"/>
      <x:c r="C284" s="26"/>
      <x:c r="D284" s="26"/>
      <x:c r="E284" s="26"/>
      <x:c r="F284" s="26"/>
      <x:c r="G284" s="26"/>
      <x:c r="H284" s="26"/>
      <x:c r="I284" s="36"/>
      <x:c r="J284" s="26"/>
      <x:c r="K284" s="26"/>
      <x:c r="L284" s="26"/>
      <x:c r="M284" s="26"/>
      <x:c r="N284" s="26"/>
      <x:c r="O284" s="26"/>
      <x:c r="P284" s="26"/>
      <x:c r="Q284" s="26"/>
      <x:c r="R284" s="26"/>
      <x:c r="S284" s="26"/>
      <x:c r="T284" s="26"/>
      <x:c r="U284" s="26"/>
      <x:c r="V284" s="26"/>
      <x:c r="W284" s="26"/>
      <x:c r="X284" s="26"/>
      <x:c r="Y284" s="26"/>
      <x:c r="Z284" s="26"/>
    </x:row>
    <x:row r="285">
      <x:c r="A285" s="26"/>
      <x:c r="B285" s="26"/>
      <x:c r="C285" s="26"/>
      <x:c r="D285" s="26"/>
      <x:c r="E285" s="26"/>
      <x:c r="F285" s="26"/>
      <x:c r="G285" s="26"/>
      <x:c r="H285" s="26"/>
      <x:c r="I285" s="36"/>
      <x:c r="J285" s="26"/>
      <x:c r="K285" s="26"/>
      <x:c r="L285" s="26"/>
      <x:c r="M285" s="26"/>
      <x:c r="N285" s="26"/>
      <x:c r="O285" s="26"/>
      <x:c r="P285" s="26"/>
      <x:c r="Q285" s="26"/>
      <x:c r="R285" s="26"/>
      <x:c r="S285" s="26"/>
      <x:c r="T285" s="26"/>
      <x:c r="U285" s="26"/>
      <x:c r="V285" s="26"/>
      <x:c r="W285" s="26"/>
      <x:c r="X285" s="26"/>
      <x:c r="Y285" s="26"/>
      <x:c r="Z285" s="26"/>
    </x:row>
    <x:row r="286">
      <x:c r="A286" s="26"/>
      <x:c r="B286" s="26"/>
      <x:c r="C286" s="26"/>
      <x:c r="D286" s="26"/>
      <x:c r="E286" s="26"/>
      <x:c r="F286" s="26"/>
      <x:c r="G286" s="26"/>
      <x:c r="H286" s="26"/>
      <x:c r="I286" s="36"/>
      <x:c r="J286" s="26"/>
      <x:c r="K286" s="26"/>
      <x:c r="L286" s="26"/>
      <x:c r="M286" s="26"/>
      <x:c r="N286" s="26"/>
      <x:c r="O286" s="26"/>
      <x:c r="P286" s="26"/>
      <x:c r="Q286" s="26"/>
      <x:c r="R286" s="26"/>
      <x:c r="S286" s="26"/>
      <x:c r="T286" s="26"/>
      <x:c r="U286" s="26"/>
      <x:c r="V286" s="26"/>
      <x:c r="W286" s="26"/>
      <x:c r="X286" s="26"/>
      <x:c r="Y286" s="26"/>
      <x:c r="Z286" s="26"/>
    </x:row>
    <x:row r="287">
      <x:c r="A287" s="26"/>
      <x:c r="B287" s="26"/>
      <x:c r="C287" s="26"/>
      <x:c r="D287" s="26"/>
      <x:c r="E287" s="26"/>
      <x:c r="F287" s="26"/>
      <x:c r="G287" s="26"/>
      <x:c r="H287" s="26"/>
      <x:c r="I287" s="36"/>
      <x:c r="J287" s="26"/>
      <x:c r="K287" s="26"/>
      <x:c r="L287" s="26"/>
      <x:c r="M287" s="26"/>
      <x:c r="N287" s="26"/>
      <x:c r="O287" s="26"/>
      <x:c r="P287" s="26"/>
      <x:c r="Q287" s="26"/>
      <x:c r="R287" s="26"/>
      <x:c r="S287" s="26"/>
      <x:c r="T287" s="26"/>
      <x:c r="U287" s="26"/>
      <x:c r="V287" s="26"/>
      <x:c r="W287" s="26"/>
      <x:c r="X287" s="26"/>
      <x:c r="Y287" s="26"/>
      <x:c r="Z287" s="26"/>
    </x:row>
    <x:row r="288">
      <x:c r="A288" s="26"/>
      <x:c r="B288" s="26"/>
      <x:c r="C288" s="26"/>
      <x:c r="D288" s="26"/>
      <x:c r="E288" s="26"/>
      <x:c r="F288" s="26"/>
      <x:c r="G288" s="26"/>
      <x:c r="H288" s="26"/>
      <x:c r="I288" s="36"/>
      <x:c r="J288" s="26"/>
      <x:c r="K288" s="26"/>
      <x:c r="L288" s="26"/>
      <x:c r="M288" s="26"/>
      <x:c r="N288" s="26"/>
      <x:c r="O288" s="26"/>
      <x:c r="P288" s="26"/>
      <x:c r="Q288" s="26"/>
      <x:c r="R288" s="26"/>
      <x:c r="S288" s="26"/>
      <x:c r="T288" s="26"/>
      <x:c r="U288" s="26"/>
      <x:c r="V288" s="26"/>
      <x:c r="W288" s="26"/>
      <x:c r="X288" s="26"/>
      <x:c r="Y288" s="26"/>
      <x:c r="Z288" s="26"/>
    </x:row>
    <x:row r="289">
      <x:c r="A289" s="26"/>
      <x:c r="B289" s="26"/>
      <x:c r="C289" s="26"/>
      <x:c r="D289" s="26"/>
      <x:c r="E289" s="26"/>
      <x:c r="F289" s="26"/>
      <x:c r="G289" s="26"/>
      <x:c r="H289" s="26"/>
      <x:c r="I289" s="36"/>
      <x:c r="J289" s="26"/>
      <x:c r="K289" s="26"/>
      <x:c r="L289" s="26"/>
      <x:c r="M289" s="26"/>
      <x:c r="N289" s="26"/>
      <x:c r="O289" s="26"/>
      <x:c r="P289" s="26"/>
      <x:c r="Q289" s="26"/>
      <x:c r="R289" s="26"/>
      <x:c r="S289" s="26"/>
      <x:c r="T289" s="26"/>
      <x:c r="U289" s="26"/>
      <x:c r="V289" s="26"/>
      <x:c r="W289" s="26"/>
      <x:c r="X289" s="26"/>
      <x:c r="Y289" s="26"/>
      <x:c r="Z289" s="26"/>
    </x:row>
    <x:row r="290">
      <x:c r="A290" s="26"/>
      <x:c r="B290" s="26"/>
      <x:c r="C290" s="26"/>
      <x:c r="D290" s="26"/>
      <x:c r="E290" s="26"/>
      <x:c r="F290" s="26"/>
      <x:c r="G290" s="26"/>
      <x:c r="H290" s="26"/>
      <x:c r="I290" s="36"/>
      <x:c r="J290" s="26"/>
      <x:c r="K290" s="26"/>
      <x:c r="L290" s="26"/>
      <x:c r="M290" s="26"/>
      <x:c r="N290" s="26"/>
      <x:c r="O290" s="26"/>
      <x:c r="P290" s="26"/>
      <x:c r="Q290" s="26"/>
      <x:c r="R290" s="26"/>
      <x:c r="S290" s="26"/>
      <x:c r="T290" s="26"/>
      <x:c r="U290" s="26"/>
      <x:c r="V290" s="26"/>
      <x:c r="W290" s="26"/>
      <x:c r="X290" s="26"/>
      <x:c r="Y290" s="26"/>
      <x:c r="Z290" s="26"/>
    </x:row>
    <x:row r="291">
      <x:c r="A291" s="26"/>
      <x:c r="B291" s="26"/>
      <x:c r="C291" s="26"/>
      <x:c r="D291" s="26"/>
      <x:c r="E291" s="26"/>
      <x:c r="F291" s="26"/>
      <x:c r="G291" s="26"/>
      <x:c r="H291" s="26"/>
      <x:c r="I291" s="36"/>
      <x:c r="J291" s="26"/>
      <x:c r="K291" s="26"/>
      <x:c r="L291" s="26"/>
      <x:c r="M291" s="26"/>
      <x:c r="N291" s="26"/>
      <x:c r="O291" s="26"/>
      <x:c r="P291" s="26"/>
      <x:c r="Q291" s="26"/>
      <x:c r="R291" s="26"/>
      <x:c r="S291" s="26"/>
      <x:c r="T291" s="26"/>
      <x:c r="U291" s="26"/>
      <x:c r="V291" s="26"/>
      <x:c r="W291" s="26"/>
      <x:c r="X291" s="26"/>
      <x:c r="Y291" s="26"/>
      <x:c r="Z291" s="26"/>
    </x:row>
    <x:row r="292">
      <x:c r="A292" s="26"/>
      <x:c r="B292" s="26"/>
      <x:c r="C292" s="26"/>
      <x:c r="D292" s="26"/>
      <x:c r="E292" s="26"/>
      <x:c r="F292" s="26"/>
      <x:c r="G292" s="26"/>
      <x:c r="H292" s="26"/>
      <x:c r="I292" s="36"/>
      <x:c r="J292" s="26"/>
      <x:c r="K292" s="26"/>
      <x:c r="L292" s="26"/>
      <x:c r="M292" s="26"/>
      <x:c r="N292" s="26"/>
      <x:c r="O292" s="26"/>
      <x:c r="P292" s="26"/>
      <x:c r="Q292" s="26"/>
      <x:c r="R292" s="26"/>
      <x:c r="S292" s="26"/>
      <x:c r="T292" s="26"/>
      <x:c r="U292" s="26"/>
      <x:c r="V292" s="26"/>
      <x:c r="W292" s="26"/>
      <x:c r="X292" s="26"/>
      <x:c r="Y292" s="26"/>
      <x:c r="Z292" s="26"/>
    </x:row>
    <x:row r="293">
      <x:c r="A293" s="26"/>
      <x:c r="B293" s="26"/>
      <x:c r="C293" s="26"/>
      <x:c r="D293" s="26"/>
      <x:c r="E293" s="26"/>
      <x:c r="F293" s="26"/>
      <x:c r="G293" s="26"/>
      <x:c r="H293" s="26"/>
      <x:c r="I293" s="36"/>
      <x:c r="J293" s="26"/>
      <x:c r="K293" s="26"/>
      <x:c r="L293" s="26"/>
      <x:c r="M293" s="26"/>
      <x:c r="N293" s="26"/>
      <x:c r="O293" s="26"/>
      <x:c r="P293" s="26"/>
      <x:c r="Q293" s="26"/>
      <x:c r="R293" s="26"/>
      <x:c r="S293" s="26"/>
      <x:c r="T293" s="26"/>
      <x:c r="U293" s="26"/>
      <x:c r="V293" s="26"/>
      <x:c r="W293" s="26"/>
      <x:c r="X293" s="26"/>
      <x:c r="Y293" s="26"/>
      <x:c r="Z293" s="26"/>
    </x:row>
    <x:row r="294">
      <x:c r="A294" s="26"/>
      <x:c r="B294" s="26"/>
      <x:c r="C294" s="26"/>
      <x:c r="D294" s="26"/>
      <x:c r="E294" s="26"/>
      <x:c r="F294" s="26"/>
      <x:c r="G294" s="26"/>
      <x:c r="H294" s="26"/>
      <x:c r="I294" s="36"/>
      <x:c r="J294" s="26"/>
      <x:c r="K294" s="26"/>
      <x:c r="L294" s="26"/>
      <x:c r="M294" s="26"/>
      <x:c r="N294" s="26"/>
      <x:c r="O294" s="26"/>
      <x:c r="P294" s="26"/>
      <x:c r="Q294" s="26"/>
      <x:c r="R294" s="26"/>
      <x:c r="S294" s="26"/>
      <x:c r="T294" s="26"/>
      <x:c r="U294" s="26"/>
      <x:c r="V294" s="26"/>
      <x:c r="W294" s="26"/>
      <x:c r="X294" s="26"/>
      <x:c r="Y294" s="26"/>
      <x:c r="Z294" s="26"/>
    </x:row>
    <x:row r="295">
      <x:c r="A295" s="26"/>
      <x:c r="B295" s="26"/>
      <x:c r="C295" s="26"/>
      <x:c r="D295" s="26"/>
      <x:c r="E295" s="26"/>
      <x:c r="F295" s="26"/>
      <x:c r="G295" s="26"/>
      <x:c r="H295" s="26"/>
      <x:c r="I295" s="36"/>
      <x:c r="J295" s="26"/>
      <x:c r="K295" s="26"/>
      <x:c r="L295" s="26"/>
      <x:c r="M295" s="26"/>
      <x:c r="N295" s="26"/>
      <x:c r="O295" s="26"/>
      <x:c r="P295" s="26"/>
      <x:c r="Q295" s="26"/>
      <x:c r="R295" s="26"/>
      <x:c r="S295" s="26"/>
      <x:c r="T295" s="26"/>
      <x:c r="U295" s="26"/>
      <x:c r="V295" s="26"/>
      <x:c r="W295" s="26"/>
      <x:c r="X295" s="26"/>
      <x:c r="Y295" s="26"/>
      <x:c r="Z295" s="26"/>
    </x:row>
    <x:row r="296">
      <x:c r="A296" s="26"/>
      <x:c r="B296" s="26"/>
      <x:c r="C296" s="26"/>
      <x:c r="D296" s="26"/>
      <x:c r="E296" s="26"/>
      <x:c r="F296" s="26"/>
      <x:c r="G296" s="26"/>
      <x:c r="H296" s="26"/>
      <x:c r="I296" s="36"/>
      <x:c r="J296" s="26"/>
      <x:c r="K296" s="26"/>
      <x:c r="L296" s="26"/>
      <x:c r="M296" s="26"/>
      <x:c r="N296" s="26"/>
      <x:c r="O296" s="26"/>
      <x:c r="P296" s="26"/>
      <x:c r="Q296" s="26"/>
      <x:c r="R296" s="26"/>
      <x:c r="S296" s="26"/>
      <x:c r="T296" s="26"/>
      <x:c r="U296" s="26"/>
      <x:c r="V296" s="26"/>
      <x:c r="W296" s="26"/>
      <x:c r="X296" s="26"/>
      <x:c r="Y296" s="26"/>
      <x:c r="Z296" s="26"/>
    </x:row>
    <x:row r="297">
      <x:c r="A297" s="26"/>
      <x:c r="B297" s="26"/>
      <x:c r="C297" s="26"/>
      <x:c r="D297" s="26"/>
      <x:c r="E297" s="26"/>
      <x:c r="F297" s="26"/>
      <x:c r="G297" s="26"/>
      <x:c r="H297" s="26"/>
      <x:c r="I297" s="36"/>
      <x:c r="J297" s="26"/>
      <x:c r="K297" s="26"/>
      <x:c r="L297" s="26"/>
      <x:c r="M297" s="26"/>
      <x:c r="N297" s="26"/>
      <x:c r="O297" s="26"/>
      <x:c r="P297" s="26"/>
      <x:c r="Q297" s="26"/>
      <x:c r="R297" s="26"/>
      <x:c r="S297" s="26"/>
      <x:c r="T297" s="26"/>
      <x:c r="U297" s="26"/>
      <x:c r="V297" s="26"/>
      <x:c r="W297" s="26"/>
      <x:c r="X297" s="26"/>
      <x:c r="Y297" s="26"/>
      <x:c r="Z297" s="26"/>
    </x:row>
    <x:row r="298">
      <x:c r="A298" s="26"/>
      <x:c r="B298" s="26"/>
      <x:c r="C298" s="26"/>
      <x:c r="D298" s="26"/>
      <x:c r="E298" s="26"/>
      <x:c r="F298" s="26"/>
      <x:c r="G298" s="26"/>
      <x:c r="H298" s="26"/>
      <x:c r="I298" s="36"/>
      <x:c r="J298" s="26"/>
      <x:c r="K298" s="26"/>
      <x:c r="L298" s="26"/>
      <x:c r="M298" s="26"/>
      <x:c r="N298" s="26"/>
      <x:c r="O298" s="26"/>
      <x:c r="P298" s="26"/>
      <x:c r="Q298" s="26"/>
      <x:c r="R298" s="26"/>
      <x:c r="S298" s="26"/>
      <x:c r="T298" s="26"/>
      <x:c r="U298" s="26"/>
      <x:c r="V298" s="26"/>
      <x:c r="W298" s="26"/>
      <x:c r="X298" s="26"/>
      <x:c r="Y298" s="26"/>
      <x:c r="Z298" s="26"/>
    </x:row>
    <x:row r="299">
      <x:c r="A299" s="26"/>
      <x:c r="B299" s="26"/>
      <x:c r="C299" s="26"/>
      <x:c r="D299" s="26"/>
      <x:c r="E299" s="26"/>
      <x:c r="F299" s="26"/>
      <x:c r="G299" s="26"/>
      <x:c r="H299" s="26"/>
      <x:c r="I299" s="36"/>
      <x:c r="J299" s="26"/>
      <x:c r="K299" s="26"/>
      <x:c r="L299" s="26"/>
      <x:c r="M299" s="26"/>
      <x:c r="N299" s="26"/>
      <x:c r="O299" s="26"/>
      <x:c r="P299" s="26"/>
      <x:c r="Q299" s="26"/>
      <x:c r="R299" s="26"/>
      <x:c r="S299" s="26"/>
      <x:c r="T299" s="26"/>
      <x:c r="U299" s="26"/>
      <x:c r="V299" s="26"/>
      <x:c r="W299" s="26"/>
      <x:c r="X299" s="26"/>
      <x:c r="Y299" s="26"/>
      <x:c r="Z299" s="26"/>
    </x:row>
    <x:row r="300">
      <x:c r="A300" s="26"/>
      <x:c r="B300" s="26"/>
      <x:c r="C300" s="26"/>
      <x:c r="D300" s="26"/>
      <x:c r="E300" s="26"/>
      <x:c r="F300" s="26"/>
      <x:c r="G300" s="26"/>
      <x:c r="H300" s="26"/>
      <x:c r="I300" s="36"/>
      <x:c r="J300" s="26"/>
      <x:c r="K300" s="26"/>
      <x:c r="L300" s="26"/>
      <x:c r="M300" s="26"/>
      <x:c r="N300" s="26"/>
      <x:c r="O300" s="26"/>
      <x:c r="P300" s="26"/>
      <x:c r="Q300" s="26"/>
      <x:c r="R300" s="26"/>
      <x:c r="S300" s="26"/>
      <x:c r="T300" s="26"/>
      <x:c r="U300" s="26"/>
      <x:c r="V300" s="26"/>
      <x:c r="W300" s="26"/>
      <x:c r="X300" s="26"/>
      <x:c r="Y300" s="26"/>
      <x:c r="Z300" s="26"/>
    </x:row>
    <x:row r="301">
      <x:c r="A301" s="26"/>
      <x:c r="B301" s="26"/>
      <x:c r="C301" s="26"/>
      <x:c r="D301" s="26"/>
      <x:c r="E301" s="26"/>
      <x:c r="F301" s="26"/>
      <x:c r="G301" s="26"/>
      <x:c r="H301" s="26"/>
      <x:c r="I301" s="36"/>
      <x:c r="J301" s="26"/>
      <x:c r="K301" s="26"/>
      <x:c r="L301" s="26"/>
      <x:c r="M301" s="26"/>
      <x:c r="N301" s="26"/>
      <x:c r="O301" s="26"/>
      <x:c r="P301" s="26"/>
      <x:c r="Q301" s="26"/>
      <x:c r="R301" s="26"/>
      <x:c r="S301" s="26"/>
      <x:c r="T301" s="26"/>
      <x:c r="U301" s="26"/>
      <x:c r="V301" s="26"/>
      <x:c r="W301" s="26"/>
      <x:c r="X301" s="26"/>
      <x:c r="Y301" s="26"/>
      <x:c r="Z301" s="26"/>
    </x:row>
    <x:row r="302">
      <x:c r="A302" s="26"/>
      <x:c r="B302" s="26"/>
      <x:c r="C302" s="26"/>
      <x:c r="D302" s="26"/>
      <x:c r="E302" s="26"/>
      <x:c r="F302" s="26"/>
      <x:c r="G302" s="26"/>
      <x:c r="H302" s="26"/>
      <x:c r="I302" s="36"/>
      <x:c r="J302" s="26"/>
      <x:c r="K302" s="26"/>
      <x:c r="L302" s="26"/>
      <x:c r="M302" s="26"/>
      <x:c r="N302" s="26"/>
      <x:c r="O302" s="26"/>
      <x:c r="P302" s="26"/>
      <x:c r="Q302" s="26"/>
      <x:c r="R302" s="26"/>
      <x:c r="S302" s="26"/>
      <x:c r="T302" s="26"/>
      <x:c r="U302" s="26"/>
      <x:c r="V302" s="26"/>
      <x:c r="W302" s="26"/>
      <x:c r="X302" s="26"/>
      <x:c r="Y302" s="26"/>
      <x:c r="Z302" s="26"/>
    </x:row>
    <x:row r="303">
      <x:c r="A303" s="26"/>
      <x:c r="B303" s="26"/>
      <x:c r="C303" s="26"/>
      <x:c r="D303" s="26"/>
      <x:c r="E303" s="26"/>
      <x:c r="F303" s="26"/>
      <x:c r="G303" s="26"/>
      <x:c r="H303" s="26"/>
      <x:c r="I303" s="36"/>
      <x:c r="J303" s="26"/>
      <x:c r="K303" s="26"/>
      <x:c r="L303" s="26"/>
      <x:c r="M303" s="26"/>
      <x:c r="N303" s="26"/>
      <x:c r="O303" s="26"/>
      <x:c r="P303" s="26"/>
      <x:c r="Q303" s="26"/>
      <x:c r="R303" s="26"/>
      <x:c r="S303" s="26"/>
      <x:c r="T303" s="26"/>
      <x:c r="U303" s="26"/>
      <x:c r="V303" s="26"/>
      <x:c r="W303" s="26"/>
      <x:c r="X303" s="26"/>
      <x:c r="Y303" s="26"/>
      <x:c r="Z303" s="26"/>
    </x:row>
    <x:row r="304">
      <x:c r="A304" s="26"/>
      <x:c r="B304" s="26"/>
      <x:c r="C304" s="26"/>
      <x:c r="D304" s="26"/>
      <x:c r="E304" s="26"/>
      <x:c r="F304" s="26"/>
      <x:c r="G304" s="26"/>
      <x:c r="H304" s="26"/>
      <x:c r="I304" s="36"/>
      <x:c r="J304" s="26"/>
      <x:c r="K304" s="26"/>
      <x:c r="L304" s="26"/>
      <x:c r="M304" s="26"/>
      <x:c r="N304" s="26"/>
      <x:c r="O304" s="26"/>
      <x:c r="P304" s="26"/>
      <x:c r="Q304" s="26"/>
      <x:c r="R304" s="26"/>
      <x:c r="S304" s="26"/>
      <x:c r="T304" s="26"/>
      <x:c r="U304" s="26"/>
      <x:c r="V304" s="26"/>
      <x:c r="W304" s="26"/>
      <x:c r="X304" s="26"/>
      <x:c r="Y304" s="26"/>
      <x:c r="Z304" s="26"/>
    </x:row>
    <x:row r="305">
      <x:c r="A305" s="26"/>
      <x:c r="B305" s="26"/>
      <x:c r="C305" s="26"/>
      <x:c r="D305" s="26"/>
      <x:c r="E305" s="26"/>
      <x:c r="F305" s="26"/>
      <x:c r="G305" s="26"/>
      <x:c r="H305" s="26"/>
      <x:c r="I305" s="36"/>
      <x:c r="J305" s="26"/>
      <x:c r="K305" s="26"/>
      <x:c r="L305" s="26"/>
      <x:c r="M305" s="26"/>
      <x:c r="N305" s="26"/>
      <x:c r="O305" s="26"/>
      <x:c r="P305" s="26"/>
      <x:c r="Q305" s="26"/>
      <x:c r="R305" s="26"/>
      <x:c r="S305" s="26"/>
      <x:c r="T305" s="26"/>
      <x:c r="U305" s="26"/>
      <x:c r="V305" s="26"/>
      <x:c r="W305" s="26"/>
      <x:c r="X305" s="26"/>
      <x:c r="Y305" s="26"/>
      <x:c r="Z305" s="26"/>
    </x:row>
    <x:row r="306">
      <x:c r="A306" s="26"/>
      <x:c r="B306" s="26"/>
      <x:c r="C306" s="26"/>
      <x:c r="D306" s="26"/>
      <x:c r="E306" s="26"/>
      <x:c r="F306" s="26"/>
      <x:c r="G306" s="26"/>
      <x:c r="H306" s="26"/>
      <x:c r="I306" s="36"/>
      <x:c r="J306" s="26"/>
      <x:c r="K306" s="26"/>
      <x:c r="L306" s="26"/>
      <x:c r="M306" s="26"/>
      <x:c r="N306" s="26"/>
      <x:c r="O306" s="26"/>
      <x:c r="P306" s="26"/>
      <x:c r="Q306" s="26"/>
      <x:c r="R306" s="26"/>
      <x:c r="S306" s="26"/>
      <x:c r="T306" s="26"/>
      <x:c r="U306" s="26"/>
      <x:c r="V306" s="26"/>
      <x:c r="W306" s="26"/>
      <x:c r="X306" s="26"/>
      <x:c r="Y306" s="26"/>
      <x:c r="Z306" s="26"/>
    </x:row>
    <x:row r="307">
      <x:c r="A307" s="26"/>
      <x:c r="B307" s="26"/>
      <x:c r="C307" s="26"/>
      <x:c r="D307" s="26"/>
      <x:c r="E307" s="26"/>
      <x:c r="F307" s="26"/>
      <x:c r="G307" s="26"/>
      <x:c r="H307" s="26"/>
      <x:c r="I307" s="36"/>
      <x:c r="J307" s="26"/>
      <x:c r="K307" s="26"/>
      <x:c r="L307" s="26"/>
      <x:c r="M307" s="26"/>
      <x:c r="N307" s="26"/>
      <x:c r="O307" s="26"/>
      <x:c r="P307" s="26"/>
      <x:c r="Q307" s="26"/>
      <x:c r="R307" s="26"/>
      <x:c r="S307" s="26"/>
      <x:c r="T307" s="26"/>
      <x:c r="U307" s="26"/>
      <x:c r="V307" s="26"/>
      <x:c r="W307" s="26"/>
      <x:c r="X307" s="26"/>
      <x:c r="Y307" s="26"/>
      <x:c r="Z307" s="26"/>
    </x:row>
    <x:row r="308">
      <x:c r="A308" s="26"/>
      <x:c r="B308" s="26"/>
      <x:c r="C308" s="26"/>
      <x:c r="D308" s="26"/>
      <x:c r="E308" s="26"/>
      <x:c r="F308" s="26"/>
      <x:c r="G308" s="26"/>
      <x:c r="H308" s="26"/>
      <x:c r="I308" s="36"/>
      <x:c r="J308" s="26"/>
      <x:c r="K308" s="26"/>
      <x:c r="L308" s="26"/>
      <x:c r="M308" s="26"/>
      <x:c r="N308" s="26"/>
      <x:c r="O308" s="26"/>
      <x:c r="P308" s="26"/>
      <x:c r="Q308" s="26"/>
      <x:c r="R308" s="26"/>
      <x:c r="S308" s="26"/>
      <x:c r="T308" s="26"/>
      <x:c r="U308" s="26"/>
      <x:c r="V308" s="26"/>
      <x:c r="W308" s="26"/>
      <x:c r="X308" s="26"/>
      <x:c r="Y308" s="26"/>
      <x:c r="Z308" s="26"/>
    </x:row>
    <x:row r="309">
      <x:c r="A309" s="26"/>
      <x:c r="B309" s="26"/>
      <x:c r="C309" s="26"/>
      <x:c r="D309" s="26"/>
      <x:c r="E309" s="26"/>
      <x:c r="F309" s="26"/>
      <x:c r="G309" s="26"/>
      <x:c r="H309" s="26"/>
      <x:c r="I309" s="36"/>
      <x:c r="J309" s="26"/>
      <x:c r="K309" s="26"/>
      <x:c r="L309" s="26"/>
      <x:c r="M309" s="26"/>
      <x:c r="N309" s="26"/>
      <x:c r="O309" s="26"/>
      <x:c r="P309" s="26"/>
      <x:c r="Q309" s="26"/>
      <x:c r="R309" s="26"/>
      <x:c r="S309" s="26"/>
      <x:c r="T309" s="26"/>
      <x:c r="U309" s="26"/>
      <x:c r="V309" s="26"/>
      <x:c r="W309" s="26"/>
      <x:c r="X309" s="26"/>
      <x:c r="Y309" s="26"/>
      <x:c r="Z309" s="26"/>
    </x:row>
    <x:row r="310">
      <x:c r="A310" s="26"/>
      <x:c r="B310" s="26"/>
      <x:c r="C310" s="26"/>
      <x:c r="D310" s="26"/>
      <x:c r="E310" s="26"/>
      <x:c r="F310" s="26"/>
      <x:c r="G310" s="26"/>
      <x:c r="H310" s="26"/>
      <x:c r="I310" s="36"/>
      <x:c r="J310" s="26"/>
      <x:c r="K310" s="26"/>
      <x:c r="L310" s="26"/>
      <x:c r="M310" s="26"/>
      <x:c r="N310" s="26"/>
      <x:c r="O310" s="26"/>
      <x:c r="P310" s="26"/>
      <x:c r="Q310" s="26"/>
      <x:c r="R310" s="26"/>
      <x:c r="S310" s="26"/>
      <x:c r="T310" s="26"/>
      <x:c r="U310" s="26"/>
      <x:c r="V310" s="26"/>
      <x:c r="W310" s="26"/>
      <x:c r="X310" s="26"/>
      <x:c r="Y310" s="26"/>
      <x:c r="Z310" s="26"/>
    </x:row>
    <x:row r="311">
      <x:c r="A311" s="26"/>
      <x:c r="B311" s="26"/>
      <x:c r="C311" s="26"/>
      <x:c r="D311" s="26"/>
      <x:c r="E311" s="26"/>
      <x:c r="F311" s="26"/>
      <x:c r="G311" s="26"/>
      <x:c r="H311" s="26"/>
      <x:c r="I311" s="36"/>
      <x:c r="J311" s="26"/>
      <x:c r="K311" s="26"/>
      <x:c r="L311" s="26"/>
      <x:c r="M311" s="26"/>
      <x:c r="N311" s="26"/>
      <x:c r="O311" s="26"/>
      <x:c r="P311" s="26"/>
      <x:c r="Q311" s="26"/>
      <x:c r="R311" s="26"/>
      <x:c r="S311" s="26"/>
      <x:c r="T311" s="26"/>
      <x:c r="U311" s="26"/>
      <x:c r="V311" s="26"/>
      <x:c r="W311" s="26"/>
      <x:c r="X311" s="26"/>
      <x:c r="Y311" s="26"/>
      <x:c r="Z311" s="26"/>
    </x:row>
    <x:row r="312">
      <x:c r="A312" s="26"/>
      <x:c r="B312" s="26"/>
      <x:c r="C312" s="26"/>
      <x:c r="D312" s="26"/>
      <x:c r="E312" s="26"/>
      <x:c r="F312" s="26"/>
      <x:c r="G312" s="26"/>
      <x:c r="H312" s="26"/>
      <x:c r="I312" s="36"/>
      <x:c r="J312" s="26"/>
      <x:c r="K312" s="26"/>
      <x:c r="L312" s="26"/>
      <x:c r="M312" s="26"/>
      <x:c r="N312" s="26"/>
      <x:c r="O312" s="26"/>
      <x:c r="P312" s="26"/>
      <x:c r="Q312" s="26"/>
      <x:c r="R312" s="26"/>
      <x:c r="S312" s="26"/>
      <x:c r="T312" s="26"/>
      <x:c r="U312" s="26"/>
      <x:c r="V312" s="26"/>
      <x:c r="W312" s="26"/>
      <x:c r="X312" s="26"/>
      <x:c r="Y312" s="26"/>
      <x:c r="Z312" s="26"/>
    </x:row>
    <x:row r="313">
      <x:c r="A313" s="26"/>
      <x:c r="B313" s="26"/>
      <x:c r="C313" s="26"/>
      <x:c r="D313" s="26"/>
      <x:c r="E313" s="26"/>
      <x:c r="F313" s="26"/>
      <x:c r="G313" s="26"/>
      <x:c r="H313" s="26"/>
      <x:c r="I313" s="36"/>
      <x:c r="J313" s="26"/>
      <x:c r="K313" s="26"/>
      <x:c r="L313" s="26"/>
      <x:c r="M313" s="26"/>
      <x:c r="N313" s="26"/>
      <x:c r="O313" s="26"/>
      <x:c r="P313" s="26"/>
      <x:c r="Q313" s="26"/>
      <x:c r="R313" s="26"/>
      <x:c r="S313" s="26"/>
      <x:c r="T313" s="26"/>
      <x:c r="U313" s="26"/>
      <x:c r="V313" s="26"/>
      <x:c r="W313" s="26"/>
      <x:c r="X313" s="26"/>
      <x:c r="Y313" s="26"/>
      <x:c r="Z313" s="26"/>
    </x:row>
    <x:row r="314">
      <x:c r="A314" s="26"/>
      <x:c r="B314" s="26"/>
      <x:c r="C314" s="26"/>
      <x:c r="D314" s="26"/>
      <x:c r="E314" s="26"/>
      <x:c r="F314" s="26"/>
      <x:c r="G314" s="26"/>
      <x:c r="H314" s="26"/>
      <x:c r="I314" s="36"/>
      <x:c r="J314" s="26"/>
      <x:c r="K314" s="26"/>
      <x:c r="L314" s="26"/>
      <x:c r="M314" s="26"/>
      <x:c r="N314" s="26"/>
      <x:c r="O314" s="26"/>
      <x:c r="P314" s="26"/>
      <x:c r="Q314" s="26"/>
      <x:c r="R314" s="26"/>
      <x:c r="S314" s="26"/>
      <x:c r="T314" s="26"/>
      <x:c r="U314" s="26"/>
      <x:c r="V314" s="26"/>
      <x:c r="W314" s="26"/>
      <x:c r="X314" s="26"/>
      <x:c r="Y314" s="26"/>
      <x:c r="Z314" s="26"/>
    </x:row>
    <x:row r="315">
      <x:c r="A315" s="26"/>
      <x:c r="B315" s="26"/>
      <x:c r="C315" s="26"/>
      <x:c r="D315" s="26"/>
      <x:c r="E315" s="26"/>
      <x:c r="F315" s="26"/>
      <x:c r="G315" s="26"/>
      <x:c r="H315" s="26"/>
      <x:c r="I315" s="36"/>
      <x:c r="J315" s="26"/>
      <x:c r="K315" s="26"/>
      <x:c r="L315" s="26"/>
      <x:c r="M315" s="26"/>
      <x:c r="N315" s="26"/>
      <x:c r="O315" s="26"/>
      <x:c r="P315" s="26"/>
      <x:c r="Q315" s="26"/>
      <x:c r="R315" s="26"/>
      <x:c r="S315" s="26"/>
      <x:c r="T315" s="26"/>
      <x:c r="U315" s="26"/>
      <x:c r="V315" s="26"/>
      <x:c r="W315" s="26"/>
      <x:c r="X315" s="26"/>
      <x:c r="Y315" s="26"/>
      <x:c r="Z315" s="26"/>
    </x:row>
    <x:row r="316">
      <x:c r="A316" s="26"/>
      <x:c r="B316" s="26"/>
      <x:c r="C316" s="26"/>
      <x:c r="D316" s="26"/>
      <x:c r="E316" s="26"/>
      <x:c r="F316" s="26"/>
      <x:c r="G316" s="26"/>
      <x:c r="H316" s="26"/>
      <x:c r="I316" s="36"/>
      <x:c r="J316" s="26"/>
      <x:c r="K316" s="26"/>
      <x:c r="L316" s="26"/>
      <x:c r="M316" s="26"/>
      <x:c r="N316" s="26"/>
      <x:c r="O316" s="26"/>
      <x:c r="P316" s="26"/>
      <x:c r="Q316" s="26"/>
      <x:c r="R316" s="26"/>
      <x:c r="S316" s="26"/>
      <x:c r="T316" s="26"/>
      <x:c r="U316" s="26"/>
      <x:c r="V316" s="26"/>
      <x:c r="W316" s="26"/>
      <x:c r="X316" s="26"/>
      <x:c r="Y316" s="26"/>
      <x:c r="Z316" s="26"/>
    </x:row>
    <x:row r="317">
      <x:c r="A317" s="26"/>
      <x:c r="B317" s="26"/>
      <x:c r="C317" s="26"/>
      <x:c r="D317" s="26"/>
      <x:c r="E317" s="26"/>
      <x:c r="F317" s="26"/>
      <x:c r="G317" s="26"/>
      <x:c r="H317" s="26"/>
      <x:c r="I317" s="36"/>
      <x:c r="J317" s="26"/>
      <x:c r="K317" s="26"/>
      <x:c r="L317" s="26"/>
      <x:c r="M317" s="26"/>
      <x:c r="N317" s="26"/>
      <x:c r="O317" s="26"/>
      <x:c r="P317" s="26"/>
      <x:c r="Q317" s="26"/>
      <x:c r="R317" s="26"/>
      <x:c r="S317" s="26"/>
      <x:c r="T317" s="26"/>
      <x:c r="U317" s="26"/>
      <x:c r="V317" s="26"/>
      <x:c r="W317" s="26"/>
      <x:c r="X317" s="26"/>
      <x:c r="Y317" s="26"/>
      <x:c r="Z317" s="26"/>
    </x:row>
    <x:row r="318">
      <x:c r="A318" s="26"/>
      <x:c r="B318" s="26"/>
      <x:c r="C318" s="26"/>
      <x:c r="D318" s="26"/>
      <x:c r="E318" s="26"/>
      <x:c r="F318" s="26"/>
      <x:c r="G318" s="26"/>
      <x:c r="H318" s="26"/>
      <x:c r="I318" s="36"/>
      <x:c r="J318" s="26"/>
      <x:c r="K318" s="26"/>
      <x:c r="L318" s="26"/>
      <x:c r="M318" s="26"/>
      <x:c r="N318" s="26"/>
      <x:c r="O318" s="26"/>
      <x:c r="P318" s="26"/>
      <x:c r="Q318" s="26"/>
      <x:c r="R318" s="26"/>
      <x:c r="S318" s="26"/>
      <x:c r="T318" s="26"/>
      <x:c r="U318" s="26"/>
      <x:c r="V318" s="26"/>
      <x:c r="W318" s="26"/>
      <x:c r="X318" s="26"/>
      <x:c r="Y318" s="26"/>
      <x:c r="Z318" s="26"/>
    </x:row>
    <x:row r="319">
      <x:c r="A319" s="26"/>
      <x:c r="B319" s="26"/>
      <x:c r="C319" s="26"/>
      <x:c r="D319" s="26"/>
      <x:c r="E319" s="26"/>
      <x:c r="F319" s="26"/>
      <x:c r="G319" s="26"/>
      <x:c r="H319" s="26"/>
      <x:c r="I319" s="36"/>
      <x:c r="J319" s="26"/>
      <x:c r="K319" s="26"/>
      <x:c r="L319" s="26"/>
      <x:c r="M319" s="26"/>
      <x:c r="N319" s="26"/>
      <x:c r="O319" s="26"/>
      <x:c r="P319" s="26"/>
      <x:c r="Q319" s="26"/>
      <x:c r="R319" s="26"/>
      <x:c r="S319" s="26"/>
      <x:c r="T319" s="26"/>
      <x:c r="U319" s="26"/>
      <x:c r="V319" s="26"/>
      <x:c r="W319" s="26"/>
      <x:c r="X319" s="26"/>
      <x:c r="Y319" s="26"/>
      <x:c r="Z319" s="26"/>
    </x:row>
    <x:row r="320">
      <x:c r="A320" s="26"/>
      <x:c r="B320" s="26"/>
      <x:c r="C320" s="26"/>
      <x:c r="D320" s="26"/>
      <x:c r="E320" s="26"/>
      <x:c r="F320" s="26"/>
      <x:c r="G320" s="26"/>
      <x:c r="H320" s="26"/>
      <x:c r="I320" s="36"/>
      <x:c r="J320" s="26"/>
      <x:c r="K320" s="26"/>
      <x:c r="L320" s="26"/>
      <x:c r="M320" s="26"/>
      <x:c r="N320" s="26"/>
      <x:c r="O320" s="26"/>
      <x:c r="P320" s="26"/>
      <x:c r="Q320" s="26"/>
      <x:c r="R320" s="26"/>
      <x:c r="S320" s="26"/>
      <x:c r="T320" s="26"/>
      <x:c r="U320" s="26"/>
      <x:c r="V320" s="26"/>
      <x:c r="W320" s="26"/>
      <x:c r="X320" s="26"/>
      <x:c r="Y320" s="26"/>
      <x:c r="Z320" s="26"/>
    </x:row>
    <x:row r="321">
      <x:c r="A321" s="26"/>
      <x:c r="B321" s="26"/>
      <x:c r="C321" s="26"/>
      <x:c r="D321" s="26"/>
      <x:c r="E321" s="26"/>
      <x:c r="F321" s="26"/>
      <x:c r="G321" s="26"/>
      <x:c r="H321" s="26"/>
      <x:c r="I321" s="36"/>
      <x:c r="J321" s="26"/>
      <x:c r="K321" s="26"/>
      <x:c r="L321" s="26"/>
      <x:c r="M321" s="26"/>
      <x:c r="N321" s="26"/>
      <x:c r="O321" s="26"/>
      <x:c r="P321" s="26"/>
      <x:c r="Q321" s="26"/>
      <x:c r="R321" s="26"/>
      <x:c r="S321" s="26"/>
      <x:c r="T321" s="26"/>
      <x:c r="U321" s="26"/>
      <x:c r="V321" s="26"/>
      <x:c r="W321" s="26"/>
      <x:c r="X321" s="26"/>
      <x:c r="Y321" s="26"/>
      <x:c r="Z321" s="26"/>
    </x:row>
    <x:row r="322">
      <x:c r="A322" s="26"/>
      <x:c r="B322" s="26"/>
      <x:c r="C322" s="26"/>
      <x:c r="D322" s="26"/>
      <x:c r="E322" s="26"/>
      <x:c r="F322" s="26"/>
      <x:c r="G322" s="26"/>
      <x:c r="H322" s="26"/>
      <x:c r="I322" s="36"/>
      <x:c r="J322" s="26"/>
      <x:c r="K322" s="26"/>
      <x:c r="L322" s="26"/>
      <x:c r="M322" s="26"/>
      <x:c r="N322" s="26"/>
      <x:c r="O322" s="26"/>
      <x:c r="P322" s="26"/>
      <x:c r="Q322" s="26"/>
      <x:c r="R322" s="26"/>
      <x:c r="S322" s="26"/>
      <x:c r="T322" s="26"/>
      <x:c r="U322" s="26"/>
      <x:c r="V322" s="26"/>
      <x:c r="W322" s="26"/>
      <x:c r="X322" s="26"/>
      <x:c r="Y322" s="26"/>
      <x:c r="Z322" s="26"/>
    </x:row>
    <x:row r="323">
      <x:c r="A323" s="26"/>
      <x:c r="B323" s="26"/>
      <x:c r="C323" s="26"/>
      <x:c r="D323" s="26"/>
      <x:c r="E323" s="26"/>
      <x:c r="F323" s="26"/>
      <x:c r="G323" s="26"/>
      <x:c r="H323" s="26"/>
      <x:c r="I323" s="36"/>
      <x:c r="J323" s="26"/>
      <x:c r="K323" s="26"/>
      <x:c r="L323" s="26"/>
      <x:c r="M323" s="26"/>
      <x:c r="N323" s="26"/>
      <x:c r="O323" s="26"/>
      <x:c r="P323" s="26"/>
      <x:c r="Q323" s="26"/>
      <x:c r="R323" s="26"/>
      <x:c r="S323" s="26"/>
      <x:c r="T323" s="26"/>
      <x:c r="U323" s="26"/>
      <x:c r="V323" s="26"/>
      <x:c r="W323" s="26"/>
      <x:c r="X323" s="26"/>
      <x:c r="Y323" s="26"/>
      <x:c r="Z323" s="26"/>
    </x:row>
    <x:row r="324">
      <x:c r="A324" s="26"/>
      <x:c r="B324" s="26"/>
      <x:c r="C324" s="26"/>
      <x:c r="D324" s="26"/>
      <x:c r="E324" s="26"/>
      <x:c r="F324" s="26"/>
      <x:c r="G324" s="26"/>
      <x:c r="H324" s="26"/>
      <x:c r="I324" s="36"/>
      <x:c r="J324" s="26"/>
      <x:c r="K324" s="26"/>
      <x:c r="L324" s="26"/>
      <x:c r="M324" s="26"/>
      <x:c r="N324" s="26"/>
      <x:c r="O324" s="26"/>
      <x:c r="P324" s="26"/>
      <x:c r="Q324" s="26"/>
      <x:c r="R324" s="26"/>
      <x:c r="S324" s="26"/>
      <x:c r="T324" s="26"/>
      <x:c r="U324" s="26"/>
      <x:c r="V324" s="26"/>
      <x:c r="W324" s="26"/>
      <x:c r="X324" s="26"/>
      <x:c r="Y324" s="26"/>
      <x:c r="Z324" s="26"/>
    </x:row>
    <x:row r="325">
      <x:c r="A325" s="26"/>
      <x:c r="B325" s="26"/>
      <x:c r="C325" s="26"/>
      <x:c r="D325" s="26"/>
      <x:c r="E325" s="26"/>
      <x:c r="F325" s="26"/>
      <x:c r="G325" s="26"/>
      <x:c r="H325" s="26"/>
      <x:c r="I325" s="36"/>
      <x:c r="J325" s="26"/>
      <x:c r="K325" s="26"/>
      <x:c r="L325" s="26"/>
      <x:c r="M325" s="26"/>
      <x:c r="N325" s="26"/>
      <x:c r="O325" s="26"/>
      <x:c r="P325" s="26"/>
      <x:c r="Q325" s="26"/>
      <x:c r="R325" s="26"/>
      <x:c r="S325" s="26"/>
      <x:c r="T325" s="26"/>
      <x:c r="U325" s="26"/>
      <x:c r="V325" s="26"/>
      <x:c r="W325" s="26"/>
      <x:c r="X325" s="26"/>
      <x:c r="Y325" s="26"/>
      <x:c r="Z325" s="26"/>
    </x:row>
    <x:row r="326">
      <x:c r="A326" s="26"/>
      <x:c r="B326" s="26"/>
      <x:c r="C326" s="26"/>
      <x:c r="D326" s="26"/>
      <x:c r="E326" s="26"/>
      <x:c r="F326" s="26"/>
      <x:c r="G326" s="26"/>
      <x:c r="H326" s="26"/>
      <x:c r="I326" s="36"/>
      <x:c r="J326" s="26"/>
      <x:c r="K326" s="26"/>
      <x:c r="L326" s="26"/>
      <x:c r="M326" s="26"/>
      <x:c r="N326" s="26"/>
      <x:c r="O326" s="26"/>
      <x:c r="P326" s="26"/>
      <x:c r="Q326" s="26"/>
      <x:c r="R326" s="26"/>
      <x:c r="S326" s="26"/>
      <x:c r="T326" s="26"/>
      <x:c r="U326" s="26"/>
      <x:c r="V326" s="26"/>
      <x:c r="W326" s="26"/>
      <x:c r="X326" s="26"/>
      <x:c r="Y326" s="26"/>
      <x:c r="Z326" s="26"/>
    </x:row>
    <x:row r="327">
      <x:c r="A327" s="26"/>
      <x:c r="B327" s="26"/>
      <x:c r="C327" s="26"/>
      <x:c r="D327" s="26"/>
      <x:c r="E327" s="26"/>
      <x:c r="F327" s="26"/>
      <x:c r="G327" s="26"/>
      <x:c r="H327" s="26"/>
      <x:c r="I327" s="36"/>
      <x:c r="J327" s="26"/>
      <x:c r="K327" s="26"/>
      <x:c r="L327" s="26"/>
      <x:c r="M327" s="26"/>
      <x:c r="N327" s="26"/>
      <x:c r="O327" s="26"/>
      <x:c r="P327" s="26"/>
      <x:c r="Q327" s="26"/>
      <x:c r="R327" s="26"/>
      <x:c r="S327" s="26"/>
      <x:c r="T327" s="26"/>
      <x:c r="U327" s="26"/>
      <x:c r="V327" s="26"/>
      <x:c r="W327" s="26"/>
      <x:c r="X327" s="26"/>
      <x:c r="Y327" s="26"/>
      <x:c r="Z327" s="26"/>
    </x:row>
    <x:row r="328">
      <x:c r="A328" s="26"/>
      <x:c r="B328" s="26"/>
      <x:c r="C328" s="26"/>
      <x:c r="D328" s="26"/>
      <x:c r="E328" s="26"/>
      <x:c r="F328" s="26"/>
      <x:c r="G328" s="26"/>
      <x:c r="H328" s="26"/>
      <x:c r="I328" s="36"/>
      <x:c r="J328" s="26"/>
      <x:c r="K328" s="26"/>
      <x:c r="L328" s="26"/>
      <x:c r="M328" s="26"/>
      <x:c r="N328" s="26"/>
      <x:c r="O328" s="26"/>
      <x:c r="P328" s="26"/>
      <x:c r="Q328" s="26"/>
      <x:c r="R328" s="26"/>
      <x:c r="S328" s="26"/>
      <x:c r="T328" s="26"/>
      <x:c r="U328" s="26"/>
      <x:c r="V328" s="26"/>
      <x:c r="W328" s="26"/>
      <x:c r="X328" s="26"/>
      <x:c r="Y328" s="26"/>
      <x:c r="Z328" s="26"/>
    </x:row>
    <x:row r="329">
      <x:c r="A329" s="26"/>
      <x:c r="B329" s="26"/>
      <x:c r="C329" s="26"/>
      <x:c r="D329" s="26"/>
      <x:c r="E329" s="26"/>
      <x:c r="F329" s="26"/>
      <x:c r="G329" s="26"/>
      <x:c r="H329" s="26"/>
      <x:c r="I329" s="36"/>
      <x:c r="J329" s="26"/>
      <x:c r="K329" s="26"/>
      <x:c r="L329" s="26"/>
      <x:c r="M329" s="26"/>
      <x:c r="N329" s="26"/>
      <x:c r="O329" s="26"/>
      <x:c r="P329" s="26"/>
      <x:c r="Q329" s="26"/>
      <x:c r="R329" s="26"/>
      <x:c r="S329" s="26"/>
      <x:c r="T329" s="26"/>
      <x:c r="U329" s="26"/>
      <x:c r="V329" s="26"/>
      <x:c r="W329" s="26"/>
      <x:c r="X329" s="26"/>
      <x:c r="Y329" s="26"/>
      <x:c r="Z329" s="26"/>
    </x:row>
    <x:row r="330">
      <x:c r="A330" s="26"/>
      <x:c r="B330" s="26"/>
      <x:c r="C330" s="26"/>
      <x:c r="D330" s="26"/>
      <x:c r="E330" s="26"/>
      <x:c r="F330" s="26"/>
      <x:c r="G330" s="26"/>
      <x:c r="H330" s="26"/>
      <x:c r="I330" s="36"/>
      <x:c r="J330" s="26"/>
      <x:c r="K330" s="26"/>
      <x:c r="L330" s="26"/>
      <x:c r="M330" s="26"/>
      <x:c r="N330" s="26"/>
      <x:c r="O330" s="26"/>
      <x:c r="P330" s="26"/>
      <x:c r="Q330" s="26"/>
      <x:c r="R330" s="26"/>
      <x:c r="S330" s="26"/>
      <x:c r="T330" s="26"/>
      <x:c r="U330" s="26"/>
      <x:c r="V330" s="26"/>
      <x:c r="W330" s="26"/>
      <x:c r="X330" s="26"/>
      <x:c r="Y330" s="26"/>
      <x:c r="Z330" s="26"/>
    </x:row>
    <x:row r="331">
      <x:c r="A331" s="26"/>
      <x:c r="B331" s="26"/>
      <x:c r="C331" s="26"/>
      <x:c r="D331" s="26"/>
      <x:c r="E331" s="26"/>
      <x:c r="F331" s="26"/>
      <x:c r="G331" s="26"/>
      <x:c r="H331" s="26"/>
      <x:c r="I331" s="36"/>
      <x:c r="J331" s="26"/>
      <x:c r="K331" s="26"/>
      <x:c r="L331" s="26"/>
      <x:c r="M331" s="26"/>
      <x:c r="N331" s="26"/>
      <x:c r="O331" s="26"/>
      <x:c r="P331" s="26"/>
      <x:c r="Q331" s="26"/>
      <x:c r="R331" s="26"/>
      <x:c r="S331" s="26"/>
      <x:c r="T331" s="26"/>
      <x:c r="U331" s="26"/>
      <x:c r="V331" s="26"/>
      <x:c r="W331" s="26"/>
      <x:c r="X331" s="26"/>
      <x:c r="Y331" s="26"/>
      <x:c r="Z331" s="26"/>
    </x:row>
    <x:row r="332">
      <x:c r="A332" s="26"/>
      <x:c r="B332" s="26"/>
      <x:c r="C332" s="26"/>
      <x:c r="D332" s="26"/>
      <x:c r="E332" s="26"/>
      <x:c r="F332" s="26"/>
      <x:c r="G332" s="26"/>
      <x:c r="H332" s="26"/>
      <x:c r="I332" s="36"/>
      <x:c r="J332" s="26"/>
      <x:c r="K332" s="26"/>
      <x:c r="L332" s="26"/>
      <x:c r="M332" s="26"/>
      <x:c r="N332" s="26"/>
      <x:c r="O332" s="26"/>
      <x:c r="P332" s="26"/>
      <x:c r="Q332" s="26"/>
      <x:c r="R332" s="26"/>
      <x:c r="S332" s="26"/>
      <x:c r="T332" s="26"/>
      <x:c r="U332" s="26"/>
      <x:c r="V332" s="26"/>
      <x:c r="W332" s="26"/>
      <x:c r="X332" s="26"/>
      <x:c r="Y332" s="26"/>
      <x:c r="Z332" s="26"/>
    </x:row>
    <x:row r="333">
      <x:c r="A333" s="26"/>
      <x:c r="B333" s="26"/>
      <x:c r="C333" s="26"/>
      <x:c r="D333" s="26"/>
      <x:c r="E333" s="26"/>
      <x:c r="F333" s="26"/>
      <x:c r="G333" s="26"/>
      <x:c r="H333" s="26"/>
      <x:c r="I333" s="36"/>
      <x:c r="J333" s="26"/>
      <x:c r="K333" s="26"/>
      <x:c r="L333" s="26"/>
      <x:c r="M333" s="26"/>
      <x:c r="N333" s="26"/>
      <x:c r="O333" s="26"/>
      <x:c r="P333" s="26"/>
      <x:c r="Q333" s="26"/>
      <x:c r="R333" s="26"/>
      <x:c r="S333" s="26"/>
      <x:c r="T333" s="26"/>
      <x:c r="U333" s="26"/>
      <x:c r="V333" s="26"/>
      <x:c r="W333" s="26"/>
      <x:c r="X333" s="26"/>
      <x:c r="Y333" s="26"/>
      <x:c r="Z333" s="26"/>
    </x:row>
    <x:row r="334">
      <x:c r="A334" s="26"/>
      <x:c r="B334" s="26"/>
      <x:c r="C334" s="26"/>
      <x:c r="D334" s="26"/>
      <x:c r="E334" s="26"/>
      <x:c r="F334" s="26"/>
      <x:c r="G334" s="26"/>
      <x:c r="H334" s="26"/>
      <x:c r="I334" s="36"/>
      <x:c r="J334" s="26"/>
      <x:c r="K334" s="26"/>
      <x:c r="L334" s="26"/>
      <x:c r="M334" s="26"/>
      <x:c r="N334" s="26"/>
      <x:c r="O334" s="26"/>
      <x:c r="P334" s="26"/>
      <x:c r="Q334" s="26"/>
      <x:c r="R334" s="26"/>
      <x:c r="S334" s="26"/>
      <x:c r="T334" s="26"/>
      <x:c r="U334" s="26"/>
      <x:c r="V334" s="26"/>
      <x:c r="W334" s="26"/>
      <x:c r="X334" s="26"/>
      <x:c r="Y334" s="26"/>
      <x:c r="Z334" s="26"/>
    </x:row>
    <x:row r="335">
      <x:c r="A335" s="26"/>
      <x:c r="B335" s="26"/>
      <x:c r="C335" s="26"/>
      <x:c r="D335" s="26"/>
      <x:c r="E335" s="26"/>
      <x:c r="F335" s="26"/>
      <x:c r="G335" s="26"/>
      <x:c r="H335" s="26"/>
      <x:c r="I335" s="36"/>
      <x:c r="J335" s="26"/>
      <x:c r="K335" s="26"/>
      <x:c r="L335" s="26"/>
      <x:c r="M335" s="26"/>
      <x:c r="N335" s="26"/>
      <x:c r="O335" s="26"/>
      <x:c r="P335" s="26"/>
      <x:c r="Q335" s="26"/>
      <x:c r="R335" s="26"/>
      <x:c r="S335" s="26"/>
      <x:c r="T335" s="26"/>
      <x:c r="U335" s="26"/>
      <x:c r="V335" s="26"/>
      <x:c r="W335" s="26"/>
      <x:c r="X335" s="26"/>
      <x:c r="Y335" s="26"/>
      <x:c r="Z335" s="26"/>
    </x:row>
    <x:row r="336">
      <x:c r="A336" s="26"/>
      <x:c r="B336" s="26"/>
      <x:c r="C336" s="26"/>
      <x:c r="D336" s="26"/>
      <x:c r="E336" s="26"/>
      <x:c r="F336" s="26"/>
      <x:c r="G336" s="26"/>
      <x:c r="H336" s="26"/>
      <x:c r="I336" s="36"/>
      <x:c r="J336" s="26"/>
      <x:c r="K336" s="26"/>
      <x:c r="L336" s="26"/>
      <x:c r="M336" s="26"/>
      <x:c r="N336" s="26"/>
      <x:c r="O336" s="26"/>
      <x:c r="P336" s="26"/>
      <x:c r="Q336" s="26"/>
      <x:c r="R336" s="26"/>
      <x:c r="S336" s="26"/>
      <x:c r="T336" s="26"/>
      <x:c r="U336" s="26"/>
      <x:c r="V336" s="26"/>
      <x:c r="W336" s="26"/>
      <x:c r="X336" s="26"/>
      <x:c r="Y336" s="26"/>
      <x:c r="Z336" s="26"/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36"/>
      <x:c r="J337" s="26"/>
      <x:c r="K337" s="26"/>
      <x:c r="L337" s="26"/>
      <x:c r="M337" s="26"/>
      <x:c r="N337" s="26"/>
      <x:c r="O337" s="26"/>
      <x:c r="P337" s="26"/>
      <x:c r="Q337" s="26"/>
      <x:c r="R337" s="26"/>
      <x:c r="S337" s="26"/>
      <x:c r="T337" s="26"/>
      <x:c r="U337" s="26"/>
      <x:c r="V337" s="26"/>
      <x:c r="W337" s="26"/>
      <x:c r="X337" s="26"/>
      <x:c r="Y337" s="26"/>
      <x:c r="Z337" s="26"/>
    </x:row>
    <x:row r="338">
      <x:c r="A338" s="26"/>
      <x:c r="B338" s="26"/>
      <x:c r="C338" s="26"/>
      <x:c r="D338" s="26"/>
      <x:c r="E338" s="26"/>
      <x:c r="F338" s="26"/>
      <x:c r="G338" s="26"/>
      <x:c r="H338" s="26"/>
      <x:c r="I338" s="36"/>
      <x:c r="J338" s="26"/>
      <x:c r="K338" s="26"/>
      <x:c r="L338" s="26"/>
      <x:c r="M338" s="26"/>
      <x:c r="N338" s="26"/>
      <x:c r="O338" s="26"/>
      <x:c r="P338" s="26"/>
      <x:c r="Q338" s="26"/>
      <x:c r="R338" s="26"/>
      <x:c r="S338" s="26"/>
      <x:c r="T338" s="26"/>
      <x:c r="U338" s="26"/>
      <x:c r="V338" s="26"/>
      <x:c r="W338" s="26"/>
      <x:c r="X338" s="26"/>
      <x:c r="Y338" s="26"/>
      <x:c r="Z338" s="26"/>
    </x:row>
    <x:row r="339">
      <x:c r="A339" s="26"/>
      <x:c r="B339" s="26"/>
      <x:c r="C339" s="26"/>
      <x:c r="D339" s="26"/>
      <x:c r="E339" s="26"/>
      <x:c r="F339" s="26"/>
      <x:c r="G339" s="26"/>
      <x:c r="H339" s="26"/>
      <x:c r="I339" s="36"/>
      <x:c r="J339" s="26"/>
      <x:c r="K339" s="26"/>
      <x:c r="L339" s="26"/>
      <x:c r="M339" s="26"/>
      <x:c r="N339" s="26"/>
      <x:c r="O339" s="26"/>
      <x:c r="P339" s="26"/>
      <x:c r="Q339" s="26"/>
      <x:c r="R339" s="26"/>
      <x:c r="S339" s="26"/>
      <x:c r="T339" s="26"/>
      <x:c r="U339" s="26"/>
      <x:c r="V339" s="26"/>
      <x:c r="W339" s="26"/>
      <x:c r="X339" s="26"/>
      <x:c r="Y339" s="26"/>
      <x:c r="Z339" s="26"/>
    </x:row>
    <x:row r="340">
      <x:c r="A340" s="26"/>
      <x:c r="B340" s="26"/>
      <x:c r="C340" s="26"/>
      <x:c r="D340" s="26"/>
      <x:c r="E340" s="26"/>
      <x:c r="F340" s="26"/>
      <x:c r="G340" s="26"/>
      <x:c r="H340" s="26"/>
      <x:c r="I340" s="36"/>
      <x:c r="J340" s="26"/>
      <x:c r="K340" s="26"/>
      <x:c r="L340" s="26"/>
      <x:c r="M340" s="26"/>
      <x:c r="N340" s="26"/>
      <x:c r="O340" s="26"/>
      <x:c r="P340" s="26"/>
      <x:c r="Q340" s="26"/>
      <x:c r="R340" s="26"/>
      <x:c r="S340" s="26"/>
      <x:c r="T340" s="26"/>
      <x:c r="U340" s="26"/>
      <x:c r="V340" s="26"/>
      <x:c r="W340" s="26"/>
      <x:c r="X340" s="26"/>
      <x:c r="Y340" s="26"/>
      <x:c r="Z340" s="26"/>
    </x:row>
    <x:row r="341">
      <x:c r="A341" s="26"/>
      <x:c r="B341" s="26"/>
      <x:c r="C341" s="26"/>
      <x:c r="D341" s="26"/>
      <x:c r="E341" s="26"/>
      <x:c r="F341" s="26"/>
      <x:c r="G341" s="26"/>
      <x:c r="H341" s="26"/>
      <x:c r="I341" s="36"/>
      <x:c r="J341" s="26"/>
      <x:c r="K341" s="26"/>
      <x:c r="L341" s="26"/>
      <x:c r="M341" s="26"/>
      <x:c r="N341" s="26"/>
      <x:c r="O341" s="26"/>
      <x:c r="P341" s="26"/>
      <x:c r="Q341" s="26"/>
      <x:c r="R341" s="26"/>
      <x:c r="S341" s="26"/>
      <x:c r="T341" s="26"/>
      <x:c r="U341" s="26"/>
      <x:c r="V341" s="26"/>
      <x:c r="W341" s="26"/>
      <x:c r="X341" s="26"/>
      <x:c r="Y341" s="26"/>
      <x:c r="Z341" s="26"/>
    </x:row>
    <x:row r="342">
      <x:c r="A342" s="26"/>
      <x:c r="B342" s="26"/>
      <x:c r="C342" s="26"/>
      <x:c r="D342" s="26"/>
      <x:c r="E342" s="26"/>
      <x:c r="F342" s="26"/>
      <x:c r="G342" s="26"/>
      <x:c r="H342" s="26"/>
      <x:c r="I342" s="36"/>
      <x:c r="J342" s="26"/>
      <x:c r="K342" s="26"/>
      <x:c r="L342" s="26"/>
      <x:c r="M342" s="26"/>
      <x:c r="N342" s="26"/>
      <x:c r="O342" s="26"/>
      <x:c r="P342" s="26"/>
      <x:c r="Q342" s="26"/>
      <x:c r="R342" s="26"/>
      <x:c r="S342" s="26"/>
      <x:c r="T342" s="26"/>
      <x:c r="U342" s="26"/>
      <x:c r="V342" s="26"/>
      <x:c r="W342" s="26"/>
      <x:c r="X342" s="26"/>
      <x:c r="Y342" s="26"/>
      <x:c r="Z342" s="26"/>
    </x:row>
    <x:row r="343">
      <x:c r="A343" s="26"/>
      <x:c r="B343" s="26"/>
      <x:c r="C343" s="26"/>
      <x:c r="D343" s="26"/>
      <x:c r="E343" s="26"/>
      <x:c r="F343" s="26"/>
      <x:c r="G343" s="26"/>
      <x:c r="H343" s="26"/>
      <x:c r="I343" s="36"/>
      <x:c r="J343" s="26"/>
      <x:c r="K343" s="26"/>
      <x:c r="L343" s="26"/>
      <x:c r="M343" s="26"/>
      <x:c r="N343" s="26"/>
      <x:c r="O343" s="26"/>
      <x:c r="P343" s="26"/>
      <x:c r="Q343" s="26"/>
      <x:c r="R343" s="26"/>
      <x:c r="S343" s="26"/>
      <x:c r="T343" s="26"/>
      <x:c r="U343" s="26"/>
      <x:c r="V343" s="26"/>
      <x:c r="W343" s="26"/>
      <x:c r="X343" s="26"/>
      <x:c r="Y343" s="26"/>
      <x:c r="Z343" s="26"/>
    </x:row>
    <x:row r="344">
      <x:c r="A344" s="26"/>
      <x:c r="B344" s="26"/>
      <x:c r="C344" s="26"/>
      <x:c r="D344" s="26"/>
      <x:c r="E344" s="26"/>
      <x:c r="F344" s="26"/>
      <x:c r="G344" s="26"/>
      <x:c r="H344" s="26"/>
      <x:c r="I344" s="36"/>
      <x:c r="J344" s="26"/>
      <x:c r="K344" s="26"/>
      <x:c r="L344" s="26"/>
      <x:c r="M344" s="26"/>
      <x:c r="N344" s="26"/>
      <x:c r="O344" s="26"/>
      <x:c r="P344" s="26"/>
      <x:c r="Q344" s="26"/>
      <x:c r="R344" s="26"/>
      <x:c r="S344" s="26"/>
      <x:c r="T344" s="26"/>
      <x:c r="U344" s="26"/>
      <x:c r="V344" s="26"/>
      <x:c r="W344" s="26"/>
      <x:c r="X344" s="26"/>
      <x:c r="Y344" s="26"/>
      <x:c r="Z344" s="26"/>
    </x:row>
    <x:row r="345">
      <x:c r="A345" s="26"/>
      <x:c r="B345" s="26"/>
      <x:c r="C345" s="26"/>
      <x:c r="D345" s="26"/>
      <x:c r="E345" s="26"/>
      <x:c r="F345" s="26"/>
      <x:c r="G345" s="26"/>
      <x:c r="H345" s="26"/>
      <x:c r="I345" s="36"/>
      <x:c r="J345" s="26"/>
      <x:c r="K345" s="26"/>
      <x:c r="L345" s="26"/>
      <x:c r="M345" s="26"/>
      <x:c r="N345" s="26"/>
      <x:c r="O345" s="26"/>
      <x:c r="P345" s="26"/>
      <x:c r="Q345" s="26"/>
      <x:c r="R345" s="26"/>
      <x:c r="S345" s="26"/>
      <x:c r="T345" s="26"/>
      <x:c r="U345" s="26"/>
      <x:c r="V345" s="26"/>
      <x:c r="W345" s="26"/>
      <x:c r="X345" s="26"/>
      <x:c r="Y345" s="26"/>
      <x:c r="Z345" s="26"/>
    </x:row>
    <x:row r="346">
      <x:c r="A346" s="26"/>
      <x:c r="B346" s="26"/>
      <x:c r="C346" s="26"/>
      <x:c r="D346" s="26"/>
      <x:c r="E346" s="26"/>
      <x:c r="F346" s="26"/>
      <x:c r="G346" s="26"/>
      <x:c r="H346" s="26"/>
      <x:c r="I346" s="36"/>
      <x:c r="J346" s="26"/>
      <x:c r="K346" s="26"/>
      <x:c r="L346" s="26"/>
      <x:c r="M346" s="26"/>
      <x:c r="N346" s="26"/>
      <x:c r="O346" s="26"/>
      <x:c r="P346" s="26"/>
      <x:c r="Q346" s="26"/>
      <x:c r="R346" s="26"/>
      <x:c r="S346" s="26"/>
      <x:c r="T346" s="26"/>
      <x:c r="U346" s="26"/>
      <x:c r="V346" s="26"/>
      <x:c r="W346" s="26"/>
      <x:c r="X346" s="26"/>
      <x:c r="Y346" s="26"/>
      <x:c r="Z346" s="26"/>
    </x:row>
    <x:row r="347">
      <x:c r="A347" s="26"/>
      <x:c r="B347" s="26"/>
      <x:c r="C347" s="26"/>
      <x:c r="D347" s="26"/>
      <x:c r="E347" s="26"/>
      <x:c r="F347" s="26"/>
      <x:c r="G347" s="26"/>
      <x:c r="H347" s="26"/>
      <x:c r="I347" s="36"/>
      <x:c r="J347" s="26"/>
      <x:c r="K347" s="26"/>
      <x:c r="L347" s="26"/>
      <x:c r="M347" s="26"/>
      <x:c r="N347" s="26"/>
      <x:c r="O347" s="26"/>
      <x:c r="P347" s="26"/>
      <x:c r="Q347" s="26"/>
      <x:c r="R347" s="26"/>
      <x:c r="S347" s="26"/>
      <x:c r="T347" s="26"/>
      <x:c r="U347" s="26"/>
      <x:c r="V347" s="26"/>
      <x:c r="W347" s="26"/>
      <x:c r="X347" s="26"/>
      <x:c r="Y347" s="26"/>
      <x:c r="Z347" s="26"/>
    </x:row>
    <x:row r="348">
      <x:c r="A348" s="26"/>
      <x:c r="B348" s="26"/>
      <x:c r="C348" s="26"/>
      <x:c r="D348" s="26"/>
      <x:c r="E348" s="26"/>
      <x:c r="F348" s="26"/>
      <x:c r="G348" s="26"/>
      <x:c r="H348" s="26"/>
      <x:c r="I348" s="36"/>
      <x:c r="J348" s="26"/>
      <x:c r="K348" s="26"/>
      <x:c r="L348" s="26"/>
      <x:c r="M348" s="26"/>
      <x:c r="N348" s="26"/>
      <x:c r="O348" s="26"/>
      <x:c r="P348" s="26"/>
      <x:c r="Q348" s="26"/>
      <x:c r="R348" s="26"/>
      <x:c r="S348" s="26"/>
      <x:c r="T348" s="26"/>
      <x:c r="U348" s="26"/>
      <x:c r="V348" s="26"/>
      <x:c r="W348" s="26"/>
      <x:c r="X348" s="26"/>
      <x:c r="Y348" s="26"/>
      <x:c r="Z348" s="26"/>
    </x:row>
    <x:row r="349">
      <x:c r="A349" s="26"/>
      <x:c r="B349" s="26"/>
      <x:c r="C349" s="26"/>
      <x:c r="D349" s="26"/>
      <x:c r="E349" s="26"/>
      <x:c r="F349" s="26"/>
      <x:c r="G349" s="26"/>
      <x:c r="H349" s="26"/>
      <x:c r="I349" s="36"/>
      <x:c r="J349" s="26"/>
      <x:c r="K349" s="26"/>
      <x:c r="L349" s="26"/>
      <x:c r="M349" s="26"/>
      <x:c r="N349" s="26"/>
      <x:c r="O349" s="26"/>
      <x:c r="P349" s="26"/>
      <x:c r="Q349" s="26"/>
      <x:c r="R349" s="26"/>
      <x:c r="S349" s="26"/>
      <x:c r="T349" s="26"/>
      <x:c r="U349" s="26"/>
      <x:c r="V349" s="26"/>
      <x:c r="W349" s="26"/>
      <x:c r="X349" s="26"/>
      <x:c r="Y349" s="26"/>
      <x:c r="Z349" s="26"/>
    </x:row>
    <x:row r="350">
      <x:c r="A350" s="26"/>
      <x:c r="B350" s="26"/>
      <x:c r="C350" s="26"/>
      <x:c r="D350" s="26"/>
      <x:c r="E350" s="26"/>
      <x:c r="F350" s="26"/>
      <x:c r="G350" s="26"/>
      <x:c r="H350" s="26"/>
      <x:c r="I350" s="36"/>
      <x:c r="J350" s="26"/>
      <x:c r="K350" s="26"/>
      <x:c r="L350" s="26"/>
      <x:c r="M350" s="26"/>
      <x:c r="N350" s="26"/>
      <x:c r="O350" s="26"/>
      <x:c r="P350" s="26"/>
      <x:c r="Q350" s="26"/>
      <x:c r="R350" s="26"/>
      <x:c r="S350" s="26"/>
      <x:c r="T350" s="26"/>
      <x:c r="U350" s="26"/>
      <x:c r="V350" s="26"/>
      <x:c r="W350" s="26"/>
      <x:c r="X350" s="26"/>
      <x:c r="Y350" s="26"/>
      <x:c r="Z350" s="26"/>
    </x:row>
    <x:row r="351">
      <x:c r="A351" s="26"/>
      <x:c r="B351" s="26"/>
      <x:c r="C351" s="26"/>
      <x:c r="D351" s="26"/>
      <x:c r="E351" s="26"/>
      <x:c r="F351" s="26"/>
      <x:c r="G351" s="26"/>
      <x:c r="H351" s="26"/>
      <x:c r="I351" s="36"/>
      <x:c r="J351" s="26"/>
      <x:c r="K351" s="26"/>
      <x:c r="L351" s="26"/>
      <x:c r="M351" s="26"/>
      <x:c r="N351" s="26"/>
      <x:c r="O351" s="26"/>
      <x:c r="P351" s="26"/>
      <x:c r="Q351" s="26"/>
      <x:c r="R351" s="26"/>
      <x:c r="S351" s="26"/>
      <x:c r="T351" s="26"/>
      <x:c r="U351" s="26"/>
      <x:c r="V351" s="26"/>
      <x:c r="W351" s="26"/>
      <x:c r="X351" s="26"/>
      <x:c r="Y351" s="26"/>
      <x:c r="Z351" s="26"/>
    </x:row>
    <x:row r="352">
      <x:c r="A352" s="26"/>
      <x:c r="B352" s="26"/>
      <x:c r="C352" s="26"/>
      <x:c r="D352" s="26"/>
      <x:c r="E352" s="26"/>
      <x:c r="F352" s="26"/>
      <x:c r="G352" s="26"/>
      <x:c r="H352" s="26"/>
      <x:c r="I352" s="36"/>
      <x:c r="J352" s="26"/>
      <x:c r="K352" s="26"/>
      <x:c r="L352" s="26"/>
      <x:c r="M352" s="26"/>
      <x:c r="N352" s="26"/>
      <x:c r="O352" s="26"/>
      <x:c r="P352" s="26"/>
      <x:c r="Q352" s="26"/>
      <x:c r="R352" s="26"/>
      <x:c r="S352" s="26"/>
      <x:c r="T352" s="26"/>
      <x:c r="U352" s="26"/>
      <x:c r="V352" s="26"/>
      <x:c r="W352" s="26"/>
      <x:c r="X352" s="26"/>
      <x:c r="Y352" s="26"/>
      <x:c r="Z352" s="26"/>
    </x:row>
    <x:row r="353">
      <x:c r="A353" s="26"/>
      <x:c r="B353" s="26"/>
      <x:c r="C353" s="26"/>
      <x:c r="D353" s="26"/>
      <x:c r="E353" s="26"/>
      <x:c r="F353" s="26"/>
      <x:c r="G353" s="26"/>
      <x:c r="H353" s="26"/>
      <x:c r="I353" s="36"/>
      <x:c r="J353" s="26"/>
      <x:c r="K353" s="26"/>
      <x:c r="L353" s="26"/>
      <x:c r="M353" s="26"/>
      <x:c r="N353" s="26"/>
      <x:c r="O353" s="26"/>
      <x:c r="P353" s="26"/>
      <x:c r="Q353" s="26"/>
      <x:c r="R353" s="26"/>
      <x:c r="S353" s="26"/>
      <x:c r="T353" s="26"/>
      <x:c r="U353" s="26"/>
      <x:c r="V353" s="26"/>
      <x:c r="W353" s="26"/>
      <x:c r="X353" s="26"/>
      <x:c r="Y353" s="26"/>
      <x:c r="Z353" s="26"/>
    </x:row>
    <x:row r="354">
      <x:c r="A354" s="26"/>
      <x:c r="B354" s="26"/>
      <x:c r="C354" s="26"/>
      <x:c r="D354" s="26"/>
      <x:c r="E354" s="26"/>
      <x:c r="F354" s="26"/>
      <x:c r="G354" s="26"/>
      <x:c r="H354" s="26"/>
      <x:c r="I354" s="36"/>
      <x:c r="J354" s="26"/>
      <x:c r="K354" s="26"/>
      <x:c r="L354" s="26"/>
      <x:c r="M354" s="26"/>
      <x:c r="N354" s="26"/>
      <x:c r="O354" s="26"/>
      <x:c r="P354" s="26"/>
      <x:c r="Q354" s="26"/>
      <x:c r="R354" s="26"/>
      <x:c r="S354" s="26"/>
      <x:c r="T354" s="26"/>
      <x:c r="U354" s="26"/>
      <x:c r="V354" s="26"/>
      <x:c r="W354" s="26"/>
      <x:c r="X354" s="26"/>
      <x:c r="Y354" s="26"/>
      <x:c r="Z354" s="26"/>
    </x:row>
    <x:row r="355">
      <x:c r="A355" s="26"/>
      <x:c r="B355" s="26"/>
      <x:c r="C355" s="26"/>
      <x:c r="D355" s="26"/>
      <x:c r="E355" s="26"/>
      <x:c r="F355" s="26"/>
      <x:c r="G355" s="26"/>
      <x:c r="H355" s="26"/>
      <x:c r="I355" s="36"/>
      <x:c r="J355" s="26"/>
      <x:c r="K355" s="26"/>
      <x:c r="L355" s="26"/>
      <x:c r="M355" s="26"/>
      <x:c r="N355" s="26"/>
      <x:c r="O355" s="26"/>
      <x:c r="P355" s="26"/>
      <x:c r="Q355" s="26"/>
      <x:c r="R355" s="26"/>
      <x:c r="S355" s="26"/>
      <x:c r="T355" s="26"/>
      <x:c r="U355" s="26"/>
      <x:c r="V355" s="26"/>
      <x:c r="W355" s="26"/>
      <x:c r="X355" s="26"/>
      <x:c r="Y355" s="26"/>
      <x:c r="Z355" s="26"/>
    </x:row>
    <x:row r="356">
      <x:c r="A356" s="26"/>
      <x:c r="B356" s="26"/>
      <x:c r="C356" s="26"/>
      <x:c r="D356" s="26"/>
      <x:c r="E356" s="26"/>
      <x:c r="F356" s="26"/>
      <x:c r="G356" s="26"/>
      <x:c r="H356" s="26"/>
      <x:c r="I356" s="36"/>
      <x:c r="J356" s="26"/>
      <x:c r="K356" s="26"/>
      <x:c r="L356" s="26"/>
      <x:c r="M356" s="26"/>
      <x:c r="N356" s="26"/>
      <x:c r="O356" s="26"/>
      <x:c r="P356" s="26"/>
      <x:c r="Q356" s="26"/>
      <x:c r="R356" s="26"/>
      <x:c r="S356" s="26"/>
      <x:c r="T356" s="26"/>
      <x:c r="U356" s="26"/>
      <x:c r="V356" s="26"/>
      <x:c r="W356" s="26"/>
      <x:c r="X356" s="26"/>
      <x:c r="Y356" s="26"/>
      <x:c r="Z356" s="26"/>
    </x:row>
    <x:row r="357">
      <x:c r="A357" s="26"/>
      <x:c r="B357" s="26"/>
      <x:c r="C357" s="26"/>
      <x:c r="D357" s="26"/>
      <x:c r="E357" s="26"/>
      <x:c r="F357" s="26"/>
      <x:c r="G357" s="26"/>
      <x:c r="H357" s="26"/>
      <x:c r="I357" s="36"/>
      <x:c r="J357" s="26"/>
      <x:c r="K357" s="26"/>
      <x:c r="L357" s="26"/>
      <x:c r="M357" s="26"/>
      <x:c r="N357" s="26"/>
      <x:c r="O357" s="26"/>
      <x:c r="P357" s="26"/>
      <x:c r="Q357" s="26"/>
      <x:c r="R357" s="26"/>
      <x:c r="S357" s="26"/>
      <x:c r="T357" s="26"/>
      <x:c r="U357" s="26"/>
      <x:c r="V357" s="26"/>
      <x:c r="W357" s="26"/>
      <x:c r="X357" s="26"/>
      <x:c r="Y357" s="26"/>
      <x:c r="Z357" s="26"/>
    </x:row>
    <x:row r="358">
      <x:c r="A358" s="26"/>
      <x:c r="B358" s="26"/>
      <x:c r="C358" s="26"/>
      <x:c r="D358" s="26"/>
      <x:c r="E358" s="26"/>
      <x:c r="F358" s="26"/>
      <x:c r="G358" s="26"/>
      <x:c r="H358" s="26"/>
      <x:c r="I358" s="36"/>
      <x:c r="J358" s="26"/>
      <x:c r="K358" s="26"/>
      <x:c r="L358" s="26"/>
      <x:c r="M358" s="26"/>
      <x:c r="N358" s="26"/>
      <x:c r="O358" s="26"/>
      <x:c r="P358" s="26"/>
      <x:c r="Q358" s="26"/>
      <x:c r="R358" s="26"/>
      <x:c r="S358" s="26"/>
      <x:c r="T358" s="26"/>
      <x:c r="U358" s="26"/>
      <x:c r="V358" s="26"/>
      <x:c r="W358" s="26"/>
      <x:c r="X358" s="26"/>
      <x:c r="Y358" s="26"/>
      <x:c r="Z358" s="26"/>
    </x:row>
    <x:row r="359">
      <x:c r="A359" s="26"/>
      <x:c r="B359" s="26"/>
      <x:c r="C359" s="26"/>
      <x:c r="D359" s="26"/>
      <x:c r="E359" s="26"/>
      <x:c r="F359" s="26"/>
      <x:c r="G359" s="26"/>
      <x:c r="H359" s="26"/>
      <x:c r="I359" s="36"/>
      <x:c r="J359" s="26"/>
      <x:c r="K359" s="26"/>
      <x:c r="L359" s="26"/>
      <x:c r="M359" s="26"/>
      <x:c r="N359" s="26"/>
      <x:c r="O359" s="26"/>
      <x:c r="P359" s="26"/>
      <x:c r="Q359" s="26"/>
      <x:c r="R359" s="26"/>
      <x:c r="S359" s="26"/>
      <x:c r="T359" s="26"/>
      <x:c r="U359" s="26"/>
      <x:c r="V359" s="26"/>
      <x:c r="W359" s="26"/>
      <x:c r="X359" s="26"/>
      <x:c r="Y359" s="26"/>
      <x:c r="Z359" s="26"/>
    </x:row>
    <x:row r="360">
      <x:c r="A360" s="26"/>
      <x:c r="B360" s="26"/>
      <x:c r="C360" s="26"/>
      <x:c r="D360" s="26"/>
      <x:c r="E360" s="26"/>
      <x:c r="F360" s="26"/>
      <x:c r="G360" s="26"/>
      <x:c r="H360" s="26"/>
      <x:c r="I360" s="36"/>
      <x:c r="J360" s="26"/>
      <x:c r="K360" s="26"/>
      <x:c r="L360" s="26"/>
      <x:c r="M360" s="26"/>
      <x:c r="N360" s="26"/>
      <x:c r="O360" s="26"/>
      <x:c r="P360" s="26"/>
      <x:c r="Q360" s="26"/>
      <x:c r="R360" s="26"/>
      <x:c r="S360" s="26"/>
      <x:c r="T360" s="26"/>
      <x:c r="U360" s="26"/>
      <x:c r="V360" s="26"/>
      <x:c r="W360" s="26"/>
      <x:c r="X360" s="26"/>
      <x:c r="Y360" s="26"/>
      <x:c r="Z360" s="26"/>
    </x:row>
    <x:row r="361">
      <x:c r="A361" s="26"/>
      <x:c r="B361" s="26"/>
      <x:c r="C361" s="26"/>
      <x:c r="D361" s="26"/>
      <x:c r="E361" s="26"/>
      <x:c r="F361" s="26"/>
      <x:c r="G361" s="26"/>
      <x:c r="H361" s="26"/>
      <x:c r="I361" s="36"/>
      <x:c r="J361" s="26"/>
      <x:c r="K361" s="26"/>
      <x:c r="L361" s="26"/>
      <x:c r="M361" s="26"/>
      <x:c r="N361" s="26"/>
      <x:c r="O361" s="26"/>
      <x:c r="P361" s="26"/>
      <x:c r="Q361" s="26"/>
      <x:c r="R361" s="26"/>
      <x:c r="S361" s="26"/>
      <x:c r="T361" s="26"/>
      <x:c r="U361" s="26"/>
      <x:c r="V361" s="26"/>
      <x:c r="W361" s="26"/>
      <x:c r="X361" s="26"/>
      <x:c r="Y361" s="26"/>
      <x:c r="Z361" s="26"/>
    </x:row>
    <x:row r="362">
      <x:c r="A362" s="26"/>
      <x:c r="B362" s="26"/>
      <x:c r="C362" s="26"/>
      <x:c r="D362" s="26"/>
      <x:c r="E362" s="26"/>
      <x:c r="F362" s="26"/>
      <x:c r="G362" s="26"/>
      <x:c r="H362" s="26"/>
      <x:c r="I362" s="36"/>
      <x:c r="J362" s="26"/>
      <x:c r="K362" s="26"/>
      <x:c r="L362" s="26"/>
      <x:c r="M362" s="26"/>
      <x:c r="N362" s="26"/>
      <x:c r="O362" s="26"/>
      <x:c r="P362" s="26"/>
      <x:c r="Q362" s="26"/>
      <x:c r="R362" s="26"/>
      <x:c r="S362" s="26"/>
      <x:c r="T362" s="26"/>
      <x:c r="U362" s="26"/>
      <x:c r="V362" s="26"/>
      <x:c r="W362" s="26"/>
      <x:c r="X362" s="26"/>
      <x:c r="Y362" s="26"/>
      <x:c r="Z362" s="26"/>
    </x:row>
    <x:row r="363">
      <x:c r="A363" s="26"/>
      <x:c r="B363" s="26"/>
      <x:c r="C363" s="26"/>
      <x:c r="D363" s="26"/>
      <x:c r="E363" s="26"/>
      <x:c r="F363" s="26"/>
      <x:c r="G363" s="26"/>
      <x:c r="H363" s="26"/>
      <x:c r="I363" s="36"/>
      <x:c r="J363" s="26"/>
      <x:c r="K363" s="26"/>
      <x:c r="L363" s="26"/>
      <x:c r="M363" s="26"/>
      <x:c r="N363" s="26"/>
      <x:c r="O363" s="26"/>
      <x:c r="P363" s="26"/>
      <x:c r="Q363" s="26"/>
      <x:c r="R363" s="26"/>
      <x:c r="S363" s="26"/>
      <x:c r="T363" s="26"/>
      <x:c r="U363" s="26"/>
      <x:c r="V363" s="26"/>
      <x:c r="W363" s="26"/>
      <x:c r="X363" s="26"/>
      <x:c r="Y363" s="26"/>
      <x:c r="Z363" s="26"/>
    </x:row>
    <x:row r="364">
      <x:c r="A364" s="26"/>
      <x:c r="B364" s="26"/>
      <x:c r="C364" s="26"/>
      <x:c r="D364" s="26"/>
      <x:c r="E364" s="26"/>
      <x:c r="F364" s="26"/>
      <x:c r="G364" s="26"/>
      <x:c r="H364" s="26"/>
      <x:c r="I364" s="36"/>
      <x:c r="J364" s="26"/>
      <x:c r="K364" s="26"/>
      <x:c r="L364" s="26"/>
      <x:c r="M364" s="26"/>
      <x:c r="N364" s="26"/>
      <x:c r="O364" s="26"/>
      <x:c r="P364" s="26"/>
      <x:c r="Q364" s="26"/>
      <x:c r="R364" s="26"/>
      <x:c r="S364" s="26"/>
      <x:c r="T364" s="26"/>
      <x:c r="U364" s="26"/>
      <x:c r="V364" s="26"/>
      <x:c r="W364" s="26"/>
      <x:c r="X364" s="26"/>
      <x:c r="Y364" s="26"/>
      <x:c r="Z364" s="26"/>
    </x:row>
    <x:row r="365">
      <x:c r="A365" s="26"/>
      <x:c r="B365" s="26"/>
      <x:c r="C365" s="26"/>
      <x:c r="D365" s="26"/>
      <x:c r="E365" s="26"/>
      <x:c r="F365" s="26"/>
      <x:c r="G365" s="26"/>
      <x:c r="H365" s="26"/>
      <x:c r="I365" s="36"/>
      <x:c r="J365" s="26"/>
      <x:c r="K365" s="26"/>
      <x:c r="L365" s="26"/>
      <x:c r="M365" s="26"/>
      <x:c r="N365" s="26"/>
      <x:c r="O365" s="26"/>
      <x:c r="P365" s="26"/>
      <x:c r="Q365" s="26"/>
      <x:c r="R365" s="26"/>
      <x:c r="S365" s="26"/>
      <x:c r="T365" s="26"/>
      <x:c r="U365" s="26"/>
      <x:c r="V365" s="26"/>
      <x:c r="W365" s="26"/>
      <x:c r="X365" s="26"/>
      <x:c r="Y365" s="26"/>
      <x:c r="Z365" s="26"/>
    </x:row>
    <x:row r="366">
      <x:c r="A366" s="26"/>
      <x:c r="B366" s="26"/>
      <x:c r="C366" s="26"/>
      <x:c r="D366" s="26"/>
      <x:c r="E366" s="26"/>
      <x:c r="F366" s="26"/>
      <x:c r="G366" s="26"/>
      <x:c r="H366" s="26"/>
      <x:c r="I366" s="36"/>
      <x:c r="J366" s="26"/>
      <x:c r="K366" s="26"/>
      <x:c r="L366" s="26"/>
      <x:c r="M366" s="26"/>
      <x:c r="N366" s="26"/>
      <x:c r="O366" s="26"/>
      <x:c r="P366" s="26"/>
      <x:c r="Q366" s="26"/>
      <x:c r="R366" s="26"/>
      <x:c r="S366" s="26"/>
      <x:c r="T366" s="26"/>
      <x:c r="U366" s="26"/>
      <x:c r="V366" s="26"/>
      <x:c r="W366" s="26"/>
      <x:c r="X366" s="26"/>
      <x:c r="Y366" s="26"/>
      <x:c r="Z366" s="26"/>
    </x:row>
    <x:row r="367">
      <x:c r="A367" s="26"/>
      <x:c r="B367" s="26"/>
      <x:c r="C367" s="26"/>
      <x:c r="D367" s="26"/>
      <x:c r="E367" s="26"/>
      <x:c r="F367" s="26"/>
      <x:c r="G367" s="26"/>
      <x:c r="H367" s="26"/>
      <x:c r="I367" s="36"/>
      <x:c r="J367" s="26"/>
      <x:c r="K367" s="26"/>
      <x:c r="L367" s="26"/>
      <x:c r="M367" s="26"/>
      <x:c r="N367" s="26"/>
      <x:c r="O367" s="26"/>
      <x:c r="P367" s="26"/>
      <x:c r="Q367" s="26"/>
      <x:c r="R367" s="26"/>
      <x:c r="S367" s="26"/>
      <x:c r="T367" s="26"/>
      <x:c r="U367" s="26"/>
      <x:c r="V367" s="26"/>
      <x:c r="W367" s="26"/>
      <x:c r="X367" s="26"/>
      <x:c r="Y367" s="26"/>
      <x:c r="Z367" s="26"/>
    </x:row>
    <x:row r="368">
      <x:c r="A368" s="26"/>
      <x:c r="B368" s="26"/>
      <x:c r="C368" s="26"/>
      <x:c r="D368" s="26"/>
      <x:c r="E368" s="26"/>
      <x:c r="F368" s="26"/>
      <x:c r="G368" s="26"/>
      <x:c r="H368" s="26"/>
      <x:c r="I368" s="36"/>
      <x:c r="J368" s="26"/>
      <x:c r="K368" s="26"/>
      <x:c r="L368" s="26"/>
      <x:c r="M368" s="26"/>
      <x:c r="N368" s="26"/>
      <x:c r="O368" s="26"/>
      <x:c r="P368" s="26"/>
      <x:c r="Q368" s="26"/>
      <x:c r="R368" s="26"/>
      <x:c r="S368" s="26"/>
      <x:c r="T368" s="26"/>
      <x:c r="U368" s="26"/>
      <x:c r="V368" s="26"/>
      <x:c r="W368" s="26"/>
      <x:c r="X368" s="26"/>
      <x:c r="Y368" s="26"/>
      <x:c r="Z368" s="26"/>
    </x:row>
    <x:row r="369">
      <x:c r="A369" s="26"/>
      <x:c r="B369" s="26"/>
      <x:c r="C369" s="26"/>
      <x:c r="D369" s="26"/>
      <x:c r="E369" s="26"/>
      <x:c r="F369" s="26"/>
      <x:c r="G369" s="26"/>
      <x:c r="H369" s="26"/>
      <x:c r="I369" s="36"/>
      <x:c r="J369" s="26"/>
      <x:c r="K369" s="26"/>
      <x:c r="L369" s="26"/>
      <x:c r="M369" s="26"/>
      <x:c r="N369" s="26"/>
      <x:c r="O369" s="26"/>
      <x:c r="P369" s="26"/>
      <x:c r="Q369" s="26"/>
      <x:c r="R369" s="26"/>
      <x:c r="S369" s="26"/>
      <x:c r="T369" s="26"/>
      <x:c r="U369" s="26"/>
      <x:c r="V369" s="26"/>
      <x:c r="W369" s="26"/>
      <x:c r="X369" s="26"/>
      <x:c r="Y369" s="26"/>
      <x:c r="Z369" s="26"/>
    </x:row>
    <x:row r="370">
      <x:c r="A370" s="26"/>
      <x:c r="B370" s="26"/>
      <x:c r="C370" s="26"/>
      <x:c r="D370" s="26"/>
      <x:c r="E370" s="26"/>
      <x:c r="F370" s="26"/>
      <x:c r="G370" s="26"/>
      <x:c r="H370" s="26"/>
      <x:c r="I370" s="36"/>
      <x:c r="J370" s="26"/>
      <x:c r="K370" s="26"/>
      <x:c r="L370" s="26"/>
      <x:c r="M370" s="26"/>
      <x:c r="N370" s="26"/>
      <x:c r="O370" s="26"/>
      <x:c r="P370" s="26"/>
      <x:c r="Q370" s="26"/>
      <x:c r="R370" s="26"/>
      <x:c r="S370" s="26"/>
      <x:c r="T370" s="26"/>
      <x:c r="U370" s="26"/>
      <x:c r="V370" s="26"/>
      <x:c r="W370" s="26"/>
      <x:c r="X370" s="26"/>
      <x:c r="Y370" s="26"/>
      <x:c r="Z370" s="26"/>
    </x:row>
    <x:row r="371">
      <x:c r="A371" s="26"/>
      <x:c r="B371" s="26"/>
      <x:c r="C371" s="26"/>
      <x:c r="D371" s="26"/>
      <x:c r="E371" s="26"/>
      <x:c r="F371" s="26"/>
      <x:c r="G371" s="26"/>
      <x:c r="H371" s="26"/>
      <x:c r="I371" s="36"/>
      <x:c r="J371" s="26"/>
      <x:c r="K371" s="26"/>
      <x:c r="L371" s="26"/>
      <x:c r="M371" s="26"/>
      <x:c r="N371" s="26"/>
      <x:c r="O371" s="26"/>
      <x:c r="P371" s="26"/>
      <x:c r="Q371" s="26"/>
      <x:c r="R371" s="26"/>
      <x:c r="S371" s="26"/>
      <x:c r="T371" s="26"/>
      <x:c r="U371" s="26"/>
      <x:c r="V371" s="26"/>
      <x:c r="W371" s="26"/>
      <x:c r="X371" s="26"/>
      <x:c r="Y371" s="26"/>
      <x:c r="Z371" s="26"/>
    </x:row>
    <x:row r="372">
      <x:c r="A372" s="26"/>
      <x:c r="B372" s="26"/>
      <x:c r="C372" s="26"/>
      <x:c r="D372" s="26"/>
      <x:c r="E372" s="26"/>
      <x:c r="F372" s="26"/>
      <x:c r="G372" s="26"/>
      <x:c r="H372" s="26"/>
      <x:c r="I372" s="36"/>
      <x:c r="J372" s="26"/>
      <x:c r="K372" s="26"/>
      <x:c r="L372" s="26"/>
      <x:c r="M372" s="26"/>
      <x:c r="N372" s="26"/>
      <x:c r="O372" s="26"/>
      <x:c r="P372" s="26"/>
      <x:c r="Q372" s="26"/>
      <x:c r="R372" s="26"/>
      <x:c r="S372" s="26"/>
      <x:c r="T372" s="26"/>
      <x:c r="U372" s="26"/>
      <x:c r="V372" s="26"/>
      <x:c r="W372" s="26"/>
      <x:c r="X372" s="26"/>
      <x:c r="Y372" s="26"/>
      <x:c r="Z372" s="26"/>
    </x:row>
    <x:row r="373">
      <x:c r="A373" s="26"/>
      <x:c r="B373" s="26"/>
      <x:c r="C373" s="26"/>
      <x:c r="D373" s="26"/>
      <x:c r="E373" s="26"/>
      <x:c r="F373" s="26"/>
      <x:c r="G373" s="26"/>
      <x:c r="H373" s="26"/>
      <x:c r="I373" s="36"/>
      <x:c r="J373" s="26"/>
      <x:c r="K373" s="26"/>
      <x:c r="L373" s="26"/>
      <x:c r="M373" s="26"/>
      <x:c r="N373" s="26"/>
      <x:c r="O373" s="26"/>
      <x:c r="P373" s="26"/>
      <x:c r="Q373" s="26"/>
      <x:c r="R373" s="26"/>
      <x:c r="S373" s="26"/>
      <x:c r="T373" s="26"/>
      <x:c r="U373" s="26"/>
      <x:c r="V373" s="26"/>
      <x:c r="W373" s="26"/>
      <x:c r="X373" s="26"/>
      <x:c r="Y373" s="26"/>
      <x:c r="Z373" s="26"/>
    </x:row>
    <x:row r="374">
      <x:c r="A374" s="26"/>
      <x:c r="B374" s="26"/>
      <x:c r="C374" s="26"/>
      <x:c r="D374" s="26"/>
      <x:c r="E374" s="26"/>
      <x:c r="F374" s="26"/>
      <x:c r="G374" s="26"/>
      <x:c r="H374" s="26"/>
      <x:c r="I374" s="36"/>
      <x:c r="J374" s="26"/>
      <x:c r="K374" s="26"/>
      <x:c r="L374" s="26"/>
      <x:c r="M374" s="26"/>
      <x:c r="N374" s="26"/>
      <x:c r="O374" s="26"/>
      <x:c r="P374" s="26"/>
      <x:c r="Q374" s="26"/>
      <x:c r="R374" s="26"/>
      <x:c r="S374" s="26"/>
      <x:c r="T374" s="26"/>
      <x:c r="U374" s="26"/>
      <x:c r="V374" s="26"/>
      <x:c r="W374" s="26"/>
      <x:c r="X374" s="26"/>
      <x:c r="Y374" s="26"/>
      <x:c r="Z374" s="26"/>
    </x:row>
    <x:row r="375">
      <x:c r="A375" s="26"/>
      <x:c r="B375" s="26"/>
      <x:c r="C375" s="26"/>
      <x:c r="D375" s="26"/>
      <x:c r="E375" s="26"/>
      <x:c r="F375" s="26"/>
      <x:c r="G375" s="26"/>
      <x:c r="H375" s="26"/>
      <x:c r="I375" s="36"/>
      <x:c r="J375" s="26"/>
      <x:c r="K375" s="26"/>
      <x:c r="L375" s="26"/>
      <x:c r="M375" s="26"/>
      <x:c r="N375" s="26"/>
      <x:c r="O375" s="26"/>
      <x:c r="P375" s="26"/>
      <x:c r="Q375" s="26"/>
      <x:c r="R375" s="26"/>
      <x:c r="S375" s="26"/>
      <x:c r="T375" s="26"/>
      <x:c r="U375" s="26"/>
      <x:c r="V375" s="26"/>
      <x:c r="W375" s="26"/>
      <x:c r="X375" s="26"/>
      <x:c r="Y375" s="26"/>
      <x:c r="Z375" s="26"/>
    </x:row>
    <x:row r="376">
      <x:c r="A376" s="26"/>
      <x:c r="B376" s="26"/>
      <x:c r="C376" s="26"/>
      <x:c r="D376" s="26"/>
      <x:c r="E376" s="26"/>
      <x:c r="F376" s="26"/>
      <x:c r="G376" s="26"/>
      <x:c r="H376" s="26"/>
      <x:c r="I376" s="36"/>
      <x:c r="J376" s="26"/>
      <x:c r="K376" s="26"/>
      <x:c r="L376" s="26"/>
      <x:c r="M376" s="26"/>
      <x:c r="N376" s="26"/>
      <x:c r="O376" s="26"/>
      <x:c r="P376" s="26"/>
      <x:c r="Q376" s="26"/>
      <x:c r="R376" s="26"/>
      <x:c r="S376" s="26"/>
      <x:c r="T376" s="26"/>
      <x:c r="U376" s="26"/>
      <x:c r="V376" s="26"/>
      <x:c r="W376" s="26"/>
      <x:c r="X376" s="26"/>
      <x:c r="Y376" s="26"/>
      <x:c r="Z376" s="26"/>
    </x:row>
    <x:row r="377">
      <x:c r="A377" s="26"/>
      <x:c r="B377" s="26"/>
      <x:c r="C377" s="26"/>
      <x:c r="D377" s="26"/>
      <x:c r="E377" s="26"/>
      <x:c r="F377" s="26"/>
      <x:c r="G377" s="26"/>
      <x:c r="H377" s="26"/>
      <x:c r="I377" s="36"/>
      <x:c r="J377" s="26"/>
      <x:c r="K377" s="26"/>
      <x:c r="L377" s="26"/>
      <x:c r="M377" s="26"/>
      <x:c r="N377" s="26"/>
      <x:c r="O377" s="26"/>
      <x:c r="P377" s="26"/>
      <x:c r="Q377" s="26"/>
      <x:c r="R377" s="26"/>
      <x:c r="S377" s="26"/>
      <x:c r="T377" s="26"/>
      <x:c r="U377" s="26"/>
      <x:c r="V377" s="26"/>
      <x:c r="W377" s="26"/>
      <x:c r="X377" s="26"/>
      <x:c r="Y377" s="26"/>
      <x:c r="Z377" s="26"/>
    </x:row>
    <x:row r="378">
      <x:c r="A378" s="26"/>
      <x:c r="B378" s="26"/>
      <x:c r="C378" s="26"/>
      <x:c r="D378" s="26"/>
      <x:c r="E378" s="26"/>
      <x:c r="F378" s="26"/>
      <x:c r="G378" s="26"/>
      <x:c r="H378" s="26"/>
      <x:c r="I378" s="36"/>
      <x:c r="J378" s="26"/>
      <x:c r="K378" s="26"/>
      <x:c r="L378" s="26"/>
      <x:c r="M378" s="26"/>
      <x:c r="N378" s="26"/>
      <x:c r="O378" s="26"/>
      <x:c r="P378" s="26"/>
      <x:c r="Q378" s="26"/>
      <x:c r="R378" s="26"/>
      <x:c r="S378" s="26"/>
      <x:c r="T378" s="26"/>
      <x:c r="U378" s="26"/>
      <x:c r="V378" s="26"/>
      <x:c r="W378" s="26"/>
      <x:c r="X378" s="26"/>
      <x:c r="Y378" s="26"/>
      <x:c r="Z378" s="26"/>
    </x:row>
    <x:row r="379">
      <x:c r="A379" s="26"/>
      <x:c r="B379" s="26"/>
      <x:c r="C379" s="26"/>
      <x:c r="D379" s="26"/>
      <x:c r="E379" s="26"/>
      <x:c r="F379" s="26"/>
      <x:c r="G379" s="26"/>
      <x:c r="H379" s="26"/>
      <x:c r="I379" s="36"/>
      <x:c r="J379" s="26"/>
      <x:c r="K379" s="26"/>
      <x:c r="L379" s="26"/>
      <x:c r="M379" s="26"/>
      <x:c r="N379" s="26"/>
      <x:c r="O379" s="26"/>
      <x:c r="P379" s="26"/>
      <x:c r="Q379" s="26"/>
      <x:c r="R379" s="26"/>
      <x:c r="S379" s="26"/>
      <x:c r="T379" s="26"/>
      <x:c r="U379" s="26"/>
      <x:c r="V379" s="26"/>
      <x:c r="W379" s="26"/>
      <x:c r="X379" s="26"/>
      <x:c r="Y379" s="26"/>
      <x:c r="Z379" s="26"/>
    </x:row>
    <x:row r="380">
      <x:c r="A380" s="26"/>
      <x:c r="B380" s="26"/>
      <x:c r="C380" s="26"/>
      <x:c r="D380" s="26"/>
      <x:c r="E380" s="26"/>
      <x:c r="F380" s="26"/>
      <x:c r="G380" s="26"/>
      <x:c r="H380" s="26"/>
      <x:c r="I380" s="36"/>
      <x:c r="J380" s="26"/>
      <x:c r="K380" s="26"/>
      <x:c r="L380" s="26"/>
      <x:c r="M380" s="26"/>
      <x:c r="N380" s="26"/>
      <x:c r="O380" s="26"/>
      <x:c r="P380" s="26"/>
      <x:c r="Q380" s="26"/>
      <x:c r="R380" s="26"/>
      <x:c r="S380" s="26"/>
      <x:c r="T380" s="26"/>
      <x:c r="U380" s="26"/>
      <x:c r="V380" s="26"/>
      <x:c r="W380" s="26"/>
      <x:c r="X380" s="26"/>
      <x:c r="Y380" s="26"/>
      <x:c r="Z380" s="26"/>
    </x:row>
    <x:row r="381">
      <x:c r="A381" s="26"/>
      <x:c r="B381" s="26"/>
      <x:c r="C381" s="26"/>
      <x:c r="D381" s="26"/>
      <x:c r="E381" s="26"/>
      <x:c r="F381" s="26"/>
      <x:c r="G381" s="26"/>
      <x:c r="H381" s="26"/>
      <x:c r="I381" s="36"/>
      <x:c r="J381" s="26"/>
      <x:c r="K381" s="26"/>
      <x:c r="L381" s="26"/>
      <x:c r="M381" s="26"/>
      <x:c r="N381" s="26"/>
      <x:c r="O381" s="26"/>
      <x:c r="P381" s="26"/>
      <x:c r="Q381" s="26"/>
      <x:c r="R381" s="26"/>
      <x:c r="S381" s="26"/>
      <x:c r="T381" s="26"/>
      <x:c r="U381" s="26"/>
      <x:c r="V381" s="26"/>
      <x:c r="W381" s="26"/>
      <x:c r="X381" s="26"/>
      <x:c r="Y381" s="26"/>
      <x:c r="Z381" s="26"/>
    </x:row>
    <x:row r="382">
      <x:c r="A382" s="26"/>
      <x:c r="B382" s="26"/>
      <x:c r="C382" s="26"/>
      <x:c r="D382" s="26"/>
      <x:c r="E382" s="26"/>
      <x:c r="F382" s="26"/>
      <x:c r="G382" s="26"/>
      <x:c r="H382" s="26"/>
      <x:c r="I382" s="36"/>
      <x:c r="J382" s="26"/>
      <x:c r="K382" s="26"/>
      <x:c r="L382" s="26"/>
      <x:c r="M382" s="26"/>
      <x:c r="N382" s="26"/>
      <x:c r="O382" s="26"/>
      <x:c r="P382" s="26"/>
      <x:c r="Q382" s="26"/>
      <x:c r="R382" s="26"/>
      <x:c r="S382" s="26"/>
      <x:c r="T382" s="26"/>
      <x:c r="U382" s="26"/>
      <x:c r="V382" s="26"/>
      <x:c r="W382" s="26"/>
      <x:c r="X382" s="26"/>
      <x:c r="Y382" s="26"/>
      <x:c r="Z382" s="26"/>
    </x:row>
    <x:row r="383">
      <x:c r="A383" s="26"/>
      <x:c r="B383" s="26"/>
      <x:c r="C383" s="26"/>
      <x:c r="D383" s="26"/>
      <x:c r="E383" s="26"/>
      <x:c r="F383" s="26"/>
      <x:c r="G383" s="26"/>
      <x:c r="H383" s="26"/>
      <x:c r="I383" s="36"/>
      <x:c r="J383" s="26"/>
      <x:c r="K383" s="26"/>
      <x:c r="L383" s="26"/>
      <x:c r="M383" s="26"/>
      <x:c r="N383" s="26"/>
      <x:c r="O383" s="26"/>
      <x:c r="P383" s="26"/>
      <x:c r="Q383" s="26"/>
      <x:c r="R383" s="26"/>
      <x:c r="S383" s="26"/>
      <x:c r="T383" s="26"/>
      <x:c r="U383" s="26"/>
      <x:c r="V383" s="26"/>
      <x:c r="W383" s="26"/>
      <x:c r="X383" s="26"/>
      <x:c r="Y383" s="26"/>
      <x:c r="Z383" s="26"/>
    </x:row>
    <x:row r="384">
      <x:c r="A384" s="26"/>
      <x:c r="B384" s="26"/>
      <x:c r="C384" s="26"/>
      <x:c r="D384" s="26"/>
      <x:c r="E384" s="26"/>
      <x:c r="F384" s="26"/>
      <x:c r="G384" s="26"/>
      <x:c r="H384" s="26"/>
      <x:c r="I384" s="36"/>
      <x:c r="J384" s="26"/>
      <x:c r="K384" s="26"/>
      <x:c r="L384" s="26"/>
      <x:c r="M384" s="26"/>
      <x:c r="N384" s="26"/>
      <x:c r="O384" s="26"/>
      <x:c r="P384" s="26"/>
      <x:c r="Q384" s="26"/>
      <x:c r="R384" s="26"/>
      <x:c r="S384" s="26"/>
      <x:c r="T384" s="26"/>
      <x:c r="U384" s="26"/>
      <x:c r="V384" s="26"/>
      <x:c r="W384" s="26"/>
      <x:c r="X384" s="26"/>
      <x:c r="Y384" s="26"/>
      <x:c r="Z384" s="26"/>
    </x:row>
    <x:row r="385">
      <x:c r="A385" s="26"/>
      <x:c r="B385" s="26"/>
      <x:c r="C385" s="26"/>
      <x:c r="D385" s="26"/>
      <x:c r="E385" s="26"/>
      <x:c r="F385" s="26"/>
      <x:c r="G385" s="26"/>
      <x:c r="H385" s="26"/>
      <x:c r="I385" s="36"/>
      <x:c r="J385" s="26"/>
      <x:c r="K385" s="26"/>
      <x:c r="L385" s="26"/>
      <x:c r="M385" s="26"/>
      <x:c r="N385" s="26"/>
      <x:c r="O385" s="26"/>
      <x:c r="P385" s="26"/>
      <x:c r="Q385" s="26"/>
      <x:c r="R385" s="26"/>
      <x:c r="S385" s="26"/>
      <x:c r="T385" s="26"/>
      <x:c r="U385" s="26"/>
      <x:c r="V385" s="26"/>
      <x:c r="W385" s="26"/>
      <x:c r="X385" s="26"/>
      <x:c r="Y385" s="26"/>
      <x:c r="Z385" s="26"/>
    </x:row>
    <x:row r="386">
      <x:c r="A386" s="26"/>
      <x:c r="B386" s="26"/>
      <x:c r="C386" s="26"/>
      <x:c r="D386" s="26"/>
      <x:c r="E386" s="26"/>
      <x:c r="F386" s="26"/>
      <x:c r="G386" s="26"/>
      <x:c r="H386" s="26"/>
      <x:c r="I386" s="36"/>
      <x:c r="J386" s="26"/>
      <x:c r="K386" s="26"/>
      <x:c r="L386" s="26"/>
      <x:c r="M386" s="26"/>
      <x:c r="N386" s="26"/>
      <x:c r="O386" s="26"/>
      <x:c r="P386" s="26"/>
      <x:c r="Q386" s="26"/>
      <x:c r="R386" s="26"/>
      <x:c r="S386" s="26"/>
      <x:c r="T386" s="26"/>
      <x:c r="U386" s="26"/>
      <x:c r="V386" s="26"/>
      <x:c r="W386" s="26"/>
      <x:c r="X386" s="26"/>
      <x:c r="Y386" s="26"/>
      <x:c r="Z386" s="26"/>
    </x:row>
    <x:row r="387">
      <x:c r="A387" s="26"/>
      <x:c r="B387" s="26"/>
      <x:c r="C387" s="26"/>
      <x:c r="D387" s="26"/>
      <x:c r="E387" s="26"/>
      <x:c r="F387" s="26"/>
      <x:c r="G387" s="26"/>
      <x:c r="H387" s="26"/>
      <x:c r="I387" s="36"/>
      <x:c r="J387" s="26"/>
      <x:c r="K387" s="26"/>
      <x:c r="L387" s="26"/>
      <x:c r="M387" s="26"/>
      <x:c r="N387" s="26"/>
      <x:c r="O387" s="26"/>
      <x:c r="P387" s="26"/>
      <x:c r="Q387" s="26"/>
      <x:c r="R387" s="26"/>
      <x:c r="S387" s="26"/>
      <x:c r="T387" s="26"/>
      <x:c r="U387" s="26"/>
      <x:c r="V387" s="26"/>
      <x:c r="W387" s="26"/>
      <x:c r="X387" s="26"/>
      <x:c r="Y387" s="26"/>
      <x:c r="Z387" s="26"/>
    </x:row>
    <x:row r="388">
      <x:c r="A388" s="26"/>
      <x:c r="B388" s="26"/>
      <x:c r="C388" s="26"/>
      <x:c r="D388" s="26"/>
      <x:c r="E388" s="26"/>
      <x:c r="F388" s="26"/>
      <x:c r="G388" s="26"/>
      <x:c r="H388" s="26"/>
      <x:c r="I388" s="36"/>
      <x:c r="J388" s="26"/>
      <x:c r="K388" s="26"/>
      <x:c r="L388" s="26"/>
      <x:c r="M388" s="26"/>
      <x:c r="N388" s="26"/>
      <x:c r="O388" s="26"/>
      <x:c r="P388" s="26"/>
      <x:c r="Q388" s="26"/>
      <x:c r="R388" s="26"/>
      <x:c r="S388" s="26"/>
      <x:c r="T388" s="26"/>
      <x:c r="U388" s="26"/>
      <x:c r="V388" s="26"/>
      <x:c r="W388" s="26"/>
      <x:c r="X388" s="26"/>
      <x:c r="Y388" s="26"/>
      <x:c r="Z388" s="26"/>
    </x:row>
    <x:row r="389">
      <x:c r="A389" s="26"/>
      <x:c r="B389" s="26"/>
      <x:c r="C389" s="26"/>
      <x:c r="D389" s="26"/>
      <x:c r="E389" s="26"/>
      <x:c r="F389" s="26"/>
      <x:c r="G389" s="26"/>
      <x:c r="H389" s="26"/>
      <x:c r="I389" s="36"/>
      <x:c r="J389" s="26"/>
      <x:c r="K389" s="26"/>
      <x:c r="L389" s="26"/>
      <x:c r="M389" s="26"/>
      <x:c r="N389" s="26"/>
      <x:c r="O389" s="26"/>
      <x:c r="P389" s="26"/>
      <x:c r="Q389" s="26"/>
      <x:c r="R389" s="26"/>
      <x:c r="S389" s="26"/>
      <x:c r="T389" s="26"/>
      <x:c r="U389" s="26"/>
      <x:c r="V389" s="26"/>
      <x:c r="W389" s="26"/>
      <x:c r="X389" s="26"/>
      <x:c r="Y389" s="26"/>
      <x:c r="Z389" s="26"/>
    </x:row>
    <x:row r="390">
      <x:c r="A390" s="26"/>
      <x:c r="B390" s="26"/>
      <x:c r="C390" s="26"/>
      <x:c r="D390" s="26"/>
      <x:c r="E390" s="26"/>
      <x:c r="F390" s="26"/>
      <x:c r="G390" s="26"/>
      <x:c r="H390" s="26"/>
      <x:c r="I390" s="36"/>
      <x:c r="J390" s="26"/>
      <x:c r="K390" s="26"/>
      <x:c r="L390" s="26"/>
      <x:c r="M390" s="26"/>
      <x:c r="N390" s="26"/>
      <x:c r="O390" s="26"/>
      <x:c r="P390" s="26"/>
      <x:c r="Q390" s="26"/>
      <x:c r="R390" s="26"/>
      <x:c r="S390" s="26"/>
      <x:c r="T390" s="26"/>
      <x:c r="U390" s="26"/>
      <x:c r="V390" s="26"/>
      <x:c r="W390" s="26"/>
      <x:c r="X390" s="26"/>
      <x:c r="Y390" s="26"/>
      <x:c r="Z390" s="26"/>
    </x:row>
    <x:row r="391">
      <x:c r="A391" s="26"/>
      <x:c r="B391" s="26"/>
      <x:c r="C391" s="26"/>
      <x:c r="D391" s="26"/>
      <x:c r="E391" s="26"/>
      <x:c r="F391" s="26"/>
      <x:c r="G391" s="26"/>
      <x:c r="H391" s="26"/>
      <x:c r="I391" s="36"/>
      <x:c r="J391" s="26"/>
      <x:c r="K391" s="26"/>
      <x:c r="L391" s="26"/>
      <x:c r="M391" s="26"/>
      <x:c r="N391" s="26"/>
      <x:c r="O391" s="26"/>
      <x:c r="P391" s="26"/>
      <x:c r="Q391" s="26"/>
      <x:c r="R391" s="26"/>
      <x:c r="S391" s="26"/>
      <x:c r="T391" s="26"/>
      <x:c r="U391" s="26"/>
      <x:c r="V391" s="26"/>
      <x:c r="W391" s="26"/>
      <x:c r="X391" s="26"/>
      <x:c r="Y391" s="26"/>
      <x:c r="Z391" s="26"/>
    </x:row>
    <x:row r="392">
      <x:c r="A392" s="26"/>
      <x:c r="B392" s="26"/>
      <x:c r="C392" s="26"/>
      <x:c r="D392" s="26"/>
      <x:c r="E392" s="26"/>
      <x:c r="F392" s="26"/>
      <x:c r="G392" s="26"/>
      <x:c r="H392" s="26"/>
      <x:c r="I392" s="36"/>
      <x:c r="J392" s="26"/>
      <x:c r="K392" s="26"/>
      <x:c r="L392" s="26"/>
      <x:c r="M392" s="26"/>
      <x:c r="N392" s="26"/>
      <x:c r="O392" s="26"/>
      <x:c r="P392" s="26"/>
      <x:c r="Q392" s="26"/>
      <x:c r="R392" s="26"/>
      <x:c r="S392" s="26"/>
      <x:c r="T392" s="26"/>
      <x:c r="U392" s="26"/>
      <x:c r="V392" s="26"/>
      <x:c r="W392" s="26"/>
      <x:c r="X392" s="26"/>
      <x:c r="Y392" s="26"/>
      <x:c r="Z392" s="26"/>
    </x:row>
    <x:row r="393">
      <x:c r="A393" s="26"/>
      <x:c r="B393" s="26"/>
      <x:c r="C393" s="26"/>
      <x:c r="D393" s="26"/>
      <x:c r="E393" s="26"/>
      <x:c r="F393" s="26"/>
      <x:c r="G393" s="26"/>
      <x:c r="H393" s="26"/>
      <x:c r="I393" s="36"/>
      <x:c r="J393" s="26"/>
      <x:c r="K393" s="26"/>
      <x:c r="L393" s="26"/>
      <x:c r="M393" s="26"/>
      <x:c r="N393" s="26"/>
      <x:c r="O393" s="26"/>
      <x:c r="P393" s="26"/>
      <x:c r="Q393" s="26"/>
      <x:c r="R393" s="26"/>
      <x:c r="S393" s="26"/>
      <x:c r="T393" s="26"/>
      <x:c r="U393" s="26"/>
      <x:c r="V393" s="26"/>
      <x:c r="W393" s="26"/>
      <x:c r="X393" s="26"/>
      <x:c r="Y393" s="26"/>
      <x:c r="Z393" s="26"/>
    </x:row>
    <x:row r="394">
      <x:c r="A394" s="26"/>
      <x:c r="B394" s="26"/>
      <x:c r="C394" s="26"/>
      <x:c r="D394" s="26"/>
      <x:c r="E394" s="26"/>
      <x:c r="F394" s="26"/>
      <x:c r="G394" s="26"/>
      <x:c r="H394" s="26"/>
      <x:c r="I394" s="36"/>
      <x:c r="J394" s="26"/>
      <x:c r="K394" s="26"/>
      <x:c r="L394" s="26"/>
      <x:c r="M394" s="26"/>
      <x:c r="N394" s="26"/>
      <x:c r="O394" s="26"/>
      <x:c r="P394" s="26"/>
      <x:c r="Q394" s="26"/>
      <x:c r="R394" s="26"/>
      <x:c r="S394" s="26"/>
      <x:c r="T394" s="26"/>
      <x:c r="U394" s="26"/>
      <x:c r="V394" s="26"/>
      <x:c r="W394" s="26"/>
      <x:c r="X394" s="26"/>
      <x:c r="Y394" s="26"/>
      <x:c r="Z394" s="26"/>
    </x:row>
    <x:row r="395">
      <x:c r="A395" s="26"/>
      <x:c r="B395" s="26"/>
      <x:c r="C395" s="26"/>
      <x:c r="D395" s="26"/>
      <x:c r="E395" s="26"/>
      <x:c r="F395" s="26"/>
      <x:c r="G395" s="26"/>
      <x:c r="H395" s="26"/>
      <x:c r="I395" s="36"/>
      <x:c r="J395" s="26"/>
      <x:c r="K395" s="26"/>
      <x:c r="L395" s="26"/>
      <x:c r="M395" s="26"/>
      <x:c r="N395" s="26"/>
      <x:c r="O395" s="26"/>
      <x:c r="P395" s="26"/>
      <x:c r="Q395" s="26"/>
      <x:c r="R395" s="26"/>
      <x:c r="S395" s="26"/>
      <x:c r="T395" s="26"/>
      <x:c r="U395" s="26"/>
      <x:c r="V395" s="26"/>
      <x:c r="W395" s="26"/>
      <x:c r="X395" s="26"/>
      <x:c r="Y395" s="26"/>
      <x:c r="Z395" s="26"/>
    </x:row>
    <x:row r="396">
      <x:c r="A396" s="26"/>
      <x:c r="B396" s="26"/>
      <x:c r="C396" s="26"/>
      <x:c r="D396" s="26"/>
      <x:c r="E396" s="26"/>
      <x:c r="F396" s="26"/>
      <x:c r="G396" s="26"/>
      <x:c r="H396" s="26"/>
      <x:c r="I396" s="36"/>
      <x:c r="J396" s="26"/>
      <x:c r="K396" s="26"/>
      <x:c r="L396" s="26"/>
      <x:c r="M396" s="26"/>
      <x:c r="N396" s="26"/>
      <x:c r="O396" s="26"/>
      <x:c r="P396" s="26"/>
      <x:c r="Q396" s="26"/>
      <x:c r="R396" s="26"/>
      <x:c r="S396" s="26"/>
      <x:c r="T396" s="26"/>
      <x:c r="U396" s="26"/>
      <x:c r="V396" s="26"/>
      <x:c r="W396" s="26"/>
      <x:c r="X396" s="26"/>
      <x:c r="Y396" s="26"/>
      <x:c r="Z396" s="26"/>
    </x:row>
    <x:row r="397">
      <x:c r="A397" s="26"/>
      <x:c r="B397" s="26"/>
      <x:c r="C397" s="26"/>
      <x:c r="D397" s="26"/>
      <x:c r="E397" s="26"/>
      <x:c r="F397" s="26"/>
      <x:c r="G397" s="26"/>
      <x:c r="H397" s="26"/>
      <x:c r="I397" s="36"/>
      <x:c r="J397" s="26"/>
      <x:c r="K397" s="26"/>
      <x:c r="L397" s="26"/>
      <x:c r="M397" s="26"/>
      <x:c r="N397" s="26"/>
      <x:c r="O397" s="26"/>
      <x:c r="P397" s="26"/>
      <x:c r="Q397" s="26"/>
      <x:c r="R397" s="26"/>
      <x:c r="S397" s="26"/>
      <x:c r="T397" s="26"/>
      <x:c r="U397" s="26"/>
      <x:c r="V397" s="26"/>
      <x:c r="W397" s="26"/>
      <x:c r="X397" s="26"/>
      <x:c r="Y397" s="26"/>
      <x:c r="Z397" s="26"/>
    </x:row>
    <x:row r="398">
      <x:c r="A398" s="26"/>
      <x:c r="B398" s="26"/>
      <x:c r="C398" s="26"/>
      <x:c r="D398" s="26"/>
      <x:c r="E398" s="26"/>
      <x:c r="F398" s="26"/>
      <x:c r="G398" s="26"/>
      <x:c r="H398" s="26"/>
      <x:c r="I398" s="36"/>
      <x:c r="J398" s="26"/>
      <x:c r="K398" s="26"/>
      <x:c r="L398" s="26"/>
      <x:c r="M398" s="26"/>
      <x:c r="N398" s="26"/>
      <x:c r="O398" s="26"/>
      <x:c r="P398" s="26"/>
      <x:c r="Q398" s="26"/>
      <x:c r="R398" s="26"/>
      <x:c r="S398" s="26"/>
      <x:c r="T398" s="26"/>
      <x:c r="U398" s="26"/>
      <x:c r="V398" s="26"/>
      <x:c r="W398" s="26"/>
      <x:c r="X398" s="26"/>
      <x:c r="Y398" s="26"/>
      <x:c r="Z398" s="26"/>
    </x:row>
    <x:row r="399">
      <x:c r="A399" s="26"/>
      <x:c r="B399" s="26"/>
      <x:c r="C399" s="26"/>
      <x:c r="D399" s="26"/>
      <x:c r="E399" s="26"/>
      <x:c r="F399" s="26"/>
      <x:c r="G399" s="26"/>
      <x:c r="H399" s="26"/>
      <x:c r="I399" s="36"/>
      <x:c r="J399" s="26"/>
      <x:c r="K399" s="26"/>
      <x:c r="L399" s="26"/>
      <x:c r="M399" s="26"/>
      <x:c r="N399" s="26"/>
      <x:c r="O399" s="26"/>
      <x:c r="P399" s="26"/>
      <x:c r="Q399" s="26"/>
      <x:c r="R399" s="26"/>
      <x:c r="S399" s="26"/>
      <x:c r="T399" s="26"/>
      <x:c r="U399" s="26"/>
      <x:c r="V399" s="26"/>
      <x:c r="W399" s="26"/>
      <x:c r="X399" s="26"/>
      <x:c r="Y399" s="26"/>
      <x:c r="Z399" s="26"/>
    </x:row>
    <x:row r="400">
      <x:c r="A400" s="26"/>
      <x:c r="B400" s="26"/>
      <x:c r="C400" s="26"/>
      <x:c r="D400" s="26"/>
      <x:c r="E400" s="26"/>
      <x:c r="F400" s="26"/>
      <x:c r="G400" s="26"/>
      <x:c r="H400" s="26"/>
      <x:c r="I400" s="36"/>
      <x:c r="J400" s="26"/>
      <x:c r="K400" s="26"/>
      <x:c r="L400" s="26"/>
      <x:c r="M400" s="26"/>
      <x:c r="N400" s="26"/>
      <x:c r="O400" s="26"/>
      <x:c r="P400" s="26"/>
      <x:c r="Q400" s="26"/>
      <x:c r="R400" s="26"/>
      <x:c r="S400" s="26"/>
      <x:c r="T400" s="26"/>
      <x:c r="U400" s="26"/>
      <x:c r="V400" s="26"/>
      <x:c r="W400" s="26"/>
      <x:c r="X400" s="26"/>
      <x:c r="Y400" s="26"/>
      <x:c r="Z400" s="26"/>
    </x:row>
    <x:row r="401">
      <x:c r="A401" s="26"/>
      <x:c r="B401" s="26"/>
      <x:c r="C401" s="26"/>
      <x:c r="D401" s="26"/>
      <x:c r="E401" s="26"/>
      <x:c r="F401" s="26"/>
      <x:c r="G401" s="26"/>
      <x:c r="H401" s="26"/>
      <x:c r="I401" s="36"/>
      <x:c r="J401" s="26"/>
      <x:c r="K401" s="26"/>
      <x:c r="L401" s="26"/>
      <x:c r="M401" s="26"/>
      <x:c r="N401" s="26"/>
      <x:c r="O401" s="26"/>
      <x:c r="P401" s="26"/>
      <x:c r="Q401" s="26"/>
      <x:c r="R401" s="26"/>
      <x:c r="S401" s="26"/>
      <x:c r="T401" s="26"/>
      <x:c r="U401" s="26"/>
      <x:c r="V401" s="26"/>
      <x:c r="W401" s="26"/>
      <x:c r="X401" s="26"/>
      <x:c r="Y401" s="26"/>
      <x:c r="Z401" s="26"/>
    </x:row>
    <x:row r="402">
      <x:c r="A402" s="26"/>
      <x:c r="B402" s="26"/>
      <x:c r="C402" s="26"/>
      <x:c r="D402" s="26"/>
      <x:c r="E402" s="26"/>
      <x:c r="F402" s="26"/>
      <x:c r="G402" s="26"/>
      <x:c r="H402" s="26"/>
      <x:c r="I402" s="36"/>
      <x:c r="J402" s="26"/>
      <x:c r="K402" s="26"/>
      <x:c r="L402" s="26"/>
      <x:c r="M402" s="26"/>
      <x:c r="N402" s="26"/>
      <x:c r="O402" s="26"/>
      <x:c r="P402" s="26"/>
      <x:c r="Q402" s="26"/>
      <x:c r="R402" s="26"/>
      <x:c r="S402" s="26"/>
      <x:c r="T402" s="26"/>
      <x:c r="U402" s="26"/>
      <x:c r="V402" s="26"/>
      <x:c r="W402" s="26"/>
      <x:c r="X402" s="26"/>
      <x:c r="Y402" s="26"/>
      <x:c r="Z402" s="26"/>
    </x:row>
    <x:row r="403">
      <x:c r="A403" s="26"/>
      <x:c r="B403" s="26"/>
      <x:c r="C403" s="26"/>
      <x:c r="D403" s="26"/>
      <x:c r="E403" s="26"/>
      <x:c r="F403" s="26"/>
      <x:c r="G403" s="26"/>
      <x:c r="H403" s="26"/>
      <x:c r="I403" s="36"/>
      <x:c r="J403" s="26"/>
      <x:c r="K403" s="26"/>
      <x:c r="L403" s="26"/>
      <x:c r="M403" s="26"/>
      <x:c r="N403" s="26"/>
      <x:c r="O403" s="26"/>
      <x:c r="P403" s="26"/>
      <x:c r="Q403" s="26"/>
      <x:c r="R403" s="26"/>
      <x:c r="S403" s="26"/>
      <x:c r="T403" s="26"/>
      <x:c r="U403" s="26"/>
      <x:c r="V403" s="26"/>
      <x:c r="W403" s="26"/>
      <x:c r="X403" s="26"/>
      <x:c r="Y403" s="26"/>
      <x:c r="Z403" s="26"/>
    </x:row>
    <x:row r="404">
      <x:c r="A404" s="26"/>
      <x:c r="B404" s="26"/>
      <x:c r="C404" s="26"/>
      <x:c r="D404" s="26"/>
      <x:c r="E404" s="26"/>
      <x:c r="F404" s="26"/>
      <x:c r="G404" s="26"/>
      <x:c r="H404" s="26"/>
      <x:c r="I404" s="36"/>
      <x:c r="J404" s="26"/>
      <x:c r="K404" s="26"/>
      <x:c r="L404" s="26"/>
      <x:c r="M404" s="26"/>
      <x:c r="N404" s="26"/>
      <x:c r="O404" s="26"/>
      <x:c r="P404" s="26"/>
      <x:c r="Q404" s="26"/>
      <x:c r="R404" s="26"/>
      <x:c r="S404" s="26"/>
      <x:c r="T404" s="26"/>
      <x:c r="U404" s="26"/>
      <x:c r="V404" s="26"/>
      <x:c r="W404" s="26"/>
      <x:c r="X404" s="26"/>
      <x:c r="Y404" s="26"/>
      <x:c r="Z404" s="26"/>
    </x:row>
    <x:row r="405">
      <x:c r="A405" s="26"/>
      <x:c r="B405" s="26"/>
      <x:c r="C405" s="26"/>
      <x:c r="D405" s="26"/>
      <x:c r="E405" s="26"/>
      <x:c r="F405" s="26"/>
      <x:c r="G405" s="26"/>
      <x:c r="H405" s="26"/>
      <x:c r="I405" s="36"/>
      <x:c r="J405" s="26"/>
      <x:c r="K405" s="26"/>
      <x:c r="L405" s="26"/>
      <x:c r="M405" s="26"/>
      <x:c r="N405" s="26"/>
      <x:c r="O405" s="26"/>
      <x:c r="P405" s="26"/>
      <x:c r="Q405" s="26"/>
      <x:c r="R405" s="26"/>
      <x:c r="S405" s="26"/>
      <x:c r="T405" s="26"/>
      <x:c r="U405" s="26"/>
      <x:c r="V405" s="26"/>
      <x:c r="W405" s="26"/>
      <x:c r="X405" s="26"/>
      <x:c r="Y405" s="26"/>
      <x:c r="Z405" s="26"/>
    </x:row>
    <x:row r="406">
      <x:c r="A406" s="26"/>
      <x:c r="B406" s="26"/>
      <x:c r="C406" s="26"/>
      <x:c r="D406" s="26"/>
      <x:c r="E406" s="26"/>
      <x:c r="F406" s="26"/>
      <x:c r="G406" s="26"/>
      <x:c r="H406" s="26"/>
      <x:c r="I406" s="36"/>
      <x:c r="J406" s="26"/>
      <x:c r="K406" s="26"/>
      <x:c r="L406" s="26"/>
      <x:c r="M406" s="26"/>
      <x:c r="N406" s="26"/>
      <x:c r="O406" s="26"/>
      <x:c r="P406" s="26"/>
      <x:c r="Q406" s="26"/>
      <x:c r="R406" s="26"/>
      <x:c r="S406" s="26"/>
      <x:c r="T406" s="26"/>
      <x:c r="U406" s="26"/>
      <x:c r="V406" s="26"/>
      <x:c r="W406" s="26"/>
      <x:c r="X406" s="26"/>
      <x:c r="Y406" s="26"/>
      <x:c r="Z406" s="26"/>
    </x:row>
    <x:row r="407">
      <x:c r="A407" s="26"/>
      <x:c r="B407" s="26"/>
      <x:c r="C407" s="26"/>
      <x:c r="D407" s="26"/>
      <x:c r="E407" s="26"/>
      <x:c r="F407" s="26"/>
      <x:c r="G407" s="26"/>
      <x:c r="H407" s="26"/>
      <x:c r="I407" s="36"/>
      <x:c r="J407" s="26"/>
      <x:c r="K407" s="26"/>
      <x:c r="L407" s="26"/>
      <x:c r="M407" s="26"/>
      <x:c r="N407" s="26"/>
      <x:c r="O407" s="26"/>
      <x:c r="P407" s="26"/>
      <x:c r="Q407" s="26"/>
      <x:c r="R407" s="26"/>
      <x:c r="S407" s="26"/>
      <x:c r="T407" s="26"/>
      <x:c r="U407" s="26"/>
      <x:c r="V407" s="26"/>
      <x:c r="W407" s="26"/>
      <x:c r="X407" s="26"/>
      <x:c r="Y407" s="26"/>
      <x:c r="Z407" s="26"/>
    </x:row>
    <x:row r="408">
      <x:c r="A408" s="26"/>
      <x:c r="B408" s="26"/>
      <x:c r="C408" s="26"/>
      <x:c r="D408" s="26"/>
      <x:c r="E408" s="26"/>
      <x:c r="F408" s="26"/>
      <x:c r="G408" s="26"/>
      <x:c r="H408" s="26"/>
      <x:c r="I408" s="36"/>
      <x:c r="J408" s="26"/>
      <x:c r="K408" s="26"/>
      <x:c r="L408" s="26"/>
      <x:c r="M408" s="26"/>
      <x:c r="N408" s="26"/>
      <x:c r="O408" s="26"/>
      <x:c r="P408" s="26"/>
      <x:c r="Q408" s="26"/>
      <x:c r="R408" s="26"/>
      <x:c r="S408" s="26"/>
      <x:c r="T408" s="26"/>
      <x:c r="U408" s="26"/>
      <x:c r="V408" s="26"/>
      <x:c r="W408" s="26"/>
      <x:c r="X408" s="26"/>
      <x:c r="Y408" s="26"/>
      <x:c r="Z408" s="26"/>
    </x:row>
    <x:row r="409">
      <x:c r="A409" s="26"/>
      <x:c r="B409" s="26"/>
      <x:c r="C409" s="26"/>
      <x:c r="D409" s="26"/>
      <x:c r="E409" s="26"/>
      <x:c r="F409" s="26"/>
      <x:c r="G409" s="26"/>
      <x:c r="H409" s="26"/>
      <x:c r="I409" s="36"/>
      <x:c r="J409" s="26"/>
      <x:c r="K409" s="26"/>
      <x:c r="L409" s="26"/>
      <x:c r="M409" s="26"/>
      <x:c r="N409" s="26"/>
      <x:c r="O409" s="26"/>
      <x:c r="P409" s="26"/>
      <x:c r="Q409" s="26"/>
      <x:c r="R409" s="26"/>
      <x:c r="S409" s="26"/>
      <x:c r="T409" s="26"/>
      <x:c r="U409" s="26"/>
      <x:c r="V409" s="26"/>
      <x:c r="W409" s="26"/>
      <x:c r="X409" s="26"/>
      <x:c r="Y409" s="26"/>
      <x:c r="Z409" s="26"/>
    </x:row>
    <x:row r="410">
      <x:c r="A410" s="26"/>
      <x:c r="B410" s="26"/>
      <x:c r="C410" s="26"/>
      <x:c r="D410" s="26"/>
      <x:c r="E410" s="26"/>
      <x:c r="F410" s="26"/>
      <x:c r="G410" s="26"/>
      <x:c r="H410" s="26"/>
      <x:c r="I410" s="36"/>
      <x:c r="J410" s="26"/>
      <x:c r="K410" s="26"/>
      <x:c r="L410" s="26"/>
      <x:c r="M410" s="26"/>
      <x:c r="N410" s="26"/>
      <x:c r="O410" s="26"/>
      <x:c r="P410" s="26"/>
      <x:c r="Q410" s="26"/>
      <x:c r="R410" s="26"/>
      <x:c r="S410" s="26"/>
      <x:c r="T410" s="26"/>
      <x:c r="U410" s="26"/>
      <x:c r="V410" s="26"/>
      <x:c r="W410" s="26"/>
      <x:c r="X410" s="26"/>
      <x:c r="Y410" s="26"/>
      <x:c r="Z410" s="26"/>
    </x:row>
    <x:row r="411">
      <x:c r="A411" s="26"/>
      <x:c r="B411" s="26"/>
      <x:c r="C411" s="26"/>
      <x:c r="D411" s="26"/>
      <x:c r="E411" s="26"/>
      <x:c r="F411" s="26"/>
      <x:c r="G411" s="26"/>
      <x:c r="H411" s="26"/>
      <x:c r="I411" s="36"/>
      <x:c r="J411" s="26"/>
      <x:c r="K411" s="26"/>
      <x:c r="L411" s="26"/>
      <x:c r="M411" s="26"/>
      <x:c r="N411" s="26"/>
      <x:c r="O411" s="26"/>
      <x:c r="P411" s="26"/>
      <x:c r="Q411" s="26"/>
      <x:c r="R411" s="26"/>
      <x:c r="S411" s="26"/>
      <x:c r="T411" s="26"/>
      <x:c r="U411" s="26"/>
      <x:c r="V411" s="26"/>
      <x:c r="W411" s="26"/>
      <x:c r="X411" s="26"/>
      <x:c r="Y411" s="26"/>
      <x:c r="Z411" s="26"/>
    </x:row>
    <x:row r="412">
      <x:c r="A412" s="26"/>
      <x:c r="B412" s="26"/>
      <x:c r="C412" s="26"/>
      <x:c r="D412" s="26"/>
      <x:c r="E412" s="26"/>
      <x:c r="F412" s="26"/>
      <x:c r="G412" s="26"/>
      <x:c r="H412" s="26"/>
      <x:c r="I412" s="36"/>
      <x:c r="J412" s="26"/>
      <x:c r="K412" s="26"/>
      <x:c r="L412" s="26"/>
      <x:c r="M412" s="26"/>
      <x:c r="N412" s="26"/>
      <x:c r="O412" s="26"/>
      <x:c r="P412" s="26"/>
      <x:c r="Q412" s="26"/>
      <x:c r="R412" s="26"/>
      <x:c r="S412" s="26"/>
      <x:c r="T412" s="26"/>
      <x:c r="U412" s="26"/>
      <x:c r="V412" s="26"/>
      <x:c r="W412" s="26"/>
      <x:c r="X412" s="26"/>
      <x:c r="Y412" s="26"/>
      <x:c r="Z412" s="26"/>
    </x:row>
    <x:row r="413">
      <x:c r="A413" s="26"/>
      <x:c r="B413" s="26"/>
      <x:c r="C413" s="26"/>
      <x:c r="D413" s="26"/>
      <x:c r="E413" s="26"/>
      <x:c r="F413" s="26"/>
      <x:c r="G413" s="26"/>
      <x:c r="H413" s="26"/>
      <x:c r="I413" s="36"/>
      <x:c r="J413" s="26"/>
      <x:c r="K413" s="26"/>
      <x:c r="L413" s="26"/>
      <x:c r="M413" s="26"/>
      <x:c r="N413" s="26"/>
      <x:c r="O413" s="26"/>
      <x:c r="P413" s="26"/>
      <x:c r="Q413" s="26"/>
      <x:c r="R413" s="26"/>
      <x:c r="S413" s="26"/>
      <x:c r="T413" s="26"/>
      <x:c r="U413" s="26"/>
      <x:c r="V413" s="26"/>
      <x:c r="W413" s="26"/>
      <x:c r="X413" s="26"/>
      <x:c r="Y413" s="26"/>
      <x:c r="Z413" s="26"/>
    </x:row>
    <x:row r="414">
      <x:c r="A414" s="26"/>
      <x:c r="B414" s="26"/>
      <x:c r="C414" s="26"/>
      <x:c r="D414" s="26"/>
      <x:c r="E414" s="26"/>
      <x:c r="F414" s="26"/>
      <x:c r="G414" s="26"/>
      <x:c r="H414" s="26"/>
      <x:c r="I414" s="36"/>
      <x:c r="J414" s="26"/>
      <x:c r="K414" s="26"/>
      <x:c r="L414" s="26"/>
      <x:c r="M414" s="26"/>
      <x:c r="N414" s="26"/>
      <x:c r="O414" s="26"/>
      <x:c r="P414" s="26"/>
      <x:c r="Q414" s="26"/>
      <x:c r="R414" s="26"/>
      <x:c r="S414" s="26"/>
      <x:c r="T414" s="26"/>
      <x:c r="U414" s="26"/>
      <x:c r="V414" s="26"/>
      <x:c r="W414" s="26"/>
      <x:c r="X414" s="26"/>
      <x:c r="Y414" s="26"/>
      <x:c r="Z414" s="26"/>
    </x:row>
    <x:row r="415">
      <x:c r="A415" s="26"/>
      <x:c r="B415" s="26"/>
      <x:c r="C415" s="26"/>
      <x:c r="D415" s="26"/>
      <x:c r="E415" s="26"/>
      <x:c r="F415" s="26"/>
      <x:c r="G415" s="26"/>
      <x:c r="H415" s="26"/>
      <x:c r="I415" s="36"/>
      <x:c r="J415" s="26"/>
      <x:c r="K415" s="26"/>
      <x:c r="L415" s="26"/>
      <x:c r="M415" s="26"/>
      <x:c r="N415" s="26"/>
      <x:c r="O415" s="26"/>
      <x:c r="P415" s="26"/>
      <x:c r="Q415" s="26"/>
      <x:c r="R415" s="26"/>
      <x:c r="S415" s="26"/>
      <x:c r="T415" s="26"/>
      <x:c r="U415" s="26"/>
      <x:c r="V415" s="26"/>
      <x:c r="W415" s="26"/>
      <x:c r="X415" s="26"/>
      <x:c r="Y415" s="26"/>
      <x:c r="Z415" s="26"/>
    </x:row>
    <x:row r="416">
      <x:c r="A416" s="26"/>
      <x:c r="B416" s="26"/>
      <x:c r="C416" s="26"/>
      <x:c r="D416" s="26"/>
      <x:c r="E416" s="26"/>
      <x:c r="F416" s="26"/>
      <x:c r="G416" s="26"/>
      <x:c r="H416" s="26"/>
      <x:c r="I416" s="36"/>
      <x:c r="J416" s="26"/>
      <x:c r="K416" s="26"/>
      <x:c r="L416" s="26"/>
      <x:c r="M416" s="26"/>
      <x:c r="N416" s="26"/>
      <x:c r="O416" s="26"/>
      <x:c r="P416" s="26"/>
      <x:c r="Q416" s="26"/>
      <x:c r="R416" s="26"/>
      <x:c r="S416" s="26"/>
      <x:c r="T416" s="26"/>
      <x:c r="U416" s="26"/>
      <x:c r="V416" s="26"/>
      <x:c r="W416" s="26"/>
      <x:c r="X416" s="26"/>
      <x:c r="Y416" s="26"/>
      <x:c r="Z416" s="26"/>
    </x:row>
    <x:row r="417">
      <x:c r="A417" s="26"/>
      <x:c r="B417" s="26"/>
      <x:c r="C417" s="26"/>
      <x:c r="D417" s="26"/>
      <x:c r="E417" s="26"/>
      <x:c r="F417" s="26"/>
      <x:c r="G417" s="26"/>
      <x:c r="H417" s="26"/>
      <x:c r="I417" s="36"/>
      <x:c r="J417" s="26"/>
      <x:c r="K417" s="26"/>
      <x:c r="L417" s="26"/>
      <x:c r="M417" s="26"/>
      <x:c r="N417" s="26"/>
      <x:c r="O417" s="26"/>
      <x:c r="P417" s="26"/>
      <x:c r="Q417" s="26"/>
      <x:c r="R417" s="26"/>
      <x:c r="S417" s="26"/>
      <x:c r="T417" s="26"/>
      <x:c r="U417" s="26"/>
      <x:c r="V417" s="26"/>
      <x:c r="W417" s="26"/>
      <x:c r="X417" s="26"/>
      <x:c r="Y417" s="26"/>
      <x:c r="Z417" s="26"/>
    </x:row>
    <x:row r="418">
      <x:c r="A418" s="26"/>
      <x:c r="B418" s="26"/>
      <x:c r="C418" s="26"/>
      <x:c r="D418" s="26"/>
      <x:c r="E418" s="26"/>
      <x:c r="F418" s="26"/>
      <x:c r="G418" s="26"/>
      <x:c r="H418" s="26"/>
      <x:c r="I418" s="36"/>
      <x:c r="J418" s="26"/>
      <x:c r="K418" s="26"/>
      <x:c r="L418" s="26"/>
      <x:c r="M418" s="26"/>
      <x:c r="N418" s="26"/>
      <x:c r="O418" s="26"/>
      <x:c r="P418" s="26"/>
      <x:c r="Q418" s="26"/>
      <x:c r="R418" s="26"/>
      <x:c r="S418" s="26"/>
      <x:c r="T418" s="26"/>
      <x:c r="U418" s="26"/>
      <x:c r="V418" s="26"/>
      <x:c r="W418" s="26"/>
      <x:c r="X418" s="26"/>
      <x:c r="Y418" s="26"/>
      <x:c r="Z418" s="26"/>
    </x:row>
    <x:row r="419">
      <x:c r="A419" s="26"/>
      <x:c r="B419" s="26"/>
      <x:c r="C419" s="26"/>
      <x:c r="D419" s="26"/>
      <x:c r="E419" s="26"/>
      <x:c r="F419" s="26"/>
      <x:c r="G419" s="26"/>
      <x:c r="H419" s="26"/>
      <x:c r="I419" s="36"/>
      <x:c r="J419" s="26"/>
      <x:c r="K419" s="26"/>
      <x:c r="L419" s="26"/>
      <x:c r="M419" s="26"/>
      <x:c r="N419" s="26"/>
      <x:c r="O419" s="26"/>
      <x:c r="P419" s="26"/>
      <x:c r="Q419" s="26"/>
      <x:c r="R419" s="26"/>
      <x:c r="S419" s="26"/>
      <x:c r="T419" s="26"/>
      <x:c r="U419" s="26"/>
      <x:c r="V419" s="26"/>
      <x:c r="W419" s="26"/>
      <x:c r="X419" s="26"/>
      <x:c r="Y419" s="26"/>
      <x:c r="Z419" s="26"/>
    </x:row>
    <x:row r="420">
      <x:c r="A420" s="26"/>
      <x:c r="B420" s="26"/>
      <x:c r="C420" s="26"/>
      <x:c r="D420" s="26"/>
      <x:c r="E420" s="26"/>
      <x:c r="F420" s="26"/>
      <x:c r="G420" s="26"/>
      <x:c r="H420" s="26"/>
      <x:c r="I420" s="36"/>
      <x:c r="J420" s="26"/>
      <x:c r="K420" s="26"/>
      <x:c r="L420" s="26"/>
      <x:c r="M420" s="26"/>
      <x:c r="N420" s="26"/>
      <x:c r="O420" s="26"/>
      <x:c r="P420" s="26"/>
      <x:c r="Q420" s="26"/>
      <x:c r="R420" s="26"/>
      <x:c r="S420" s="26"/>
      <x:c r="T420" s="26"/>
      <x:c r="U420" s="26"/>
      <x:c r="V420" s="26"/>
      <x:c r="W420" s="26"/>
      <x:c r="X420" s="26"/>
      <x:c r="Y420" s="26"/>
      <x:c r="Z420" s="26"/>
    </x:row>
    <x:row r="421">
      <x:c r="A421" s="26"/>
      <x:c r="B421" s="26"/>
      <x:c r="C421" s="26"/>
      <x:c r="D421" s="26"/>
      <x:c r="E421" s="26"/>
      <x:c r="F421" s="26"/>
      <x:c r="G421" s="26"/>
      <x:c r="H421" s="26"/>
      <x:c r="I421" s="36"/>
      <x:c r="J421" s="26"/>
      <x:c r="K421" s="26"/>
      <x:c r="L421" s="26"/>
      <x:c r="M421" s="26"/>
      <x:c r="N421" s="26"/>
      <x:c r="O421" s="26"/>
      <x:c r="P421" s="26"/>
      <x:c r="Q421" s="26"/>
      <x:c r="R421" s="26"/>
      <x:c r="S421" s="26"/>
      <x:c r="T421" s="26"/>
      <x:c r="U421" s="26"/>
      <x:c r="V421" s="26"/>
      <x:c r="W421" s="26"/>
      <x:c r="X421" s="26"/>
      <x:c r="Y421" s="26"/>
      <x:c r="Z421" s="26"/>
    </x:row>
    <x:row r="422">
      <x:c r="A422" s="26"/>
      <x:c r="B422" s="26"/>
      <x:c r="C422" s="26"/>
      <x:c r="D422" s="26"/>
      <x:c r="E422" s="26"/>
      <x:c r="F422" s="26"/>
      <x:c r="G422" s="26"/>
      <x:c r="H422" s="26"/>
      <x:c r="I422" s="36"/>
      <x:c r="J422" s="26"/>
      <x:c r="K422" s="26"/>
      <x:c r="L422" s="26"/>
      <x:c r="M422" s="26"/>
      <x:c r="N422" s="26"/>
      <x:c r="O422" s="26"/>
      <x:c r="P422" s="26"/>
      <x:c r="Q422" s="26"/>
      <x:c r="R422" s="26"/>
      <x:c r="S422" s="26"/>
      <x:c r="T422" s="26"/>
      <x:c r="U422" s="26"/>
      <x:c r="V422" s="26"/>
      <x:c r="W422" s="26"/>
      <x:c r="X422" s="26"/>
      <x:c r="Y422" s="26"/>
      <x:c r="Z422" s="26"/>
    </x:row>
    <x:row r="423">
      <x:c r="A423" s="26"/>
      <x:c r="B423" s="26"/>
      <x:c r="C423" s="26"/>
      <x:c r="D423" s="26"/>
      <x:c r="E423" s="26"/>
      <x:c r="F423" s="26"/>
      <x:c r="G423" s="26"/>
      <x:c r="H423" s="26"/>
      <x:c r="I423" s="36"/>
      <x:c r="J423" s="26"/>
      <x:c r="K423" s="26"/>
      <x:c r="L423" s="26"/>
      <x:c r="M423" s="26"/>
      <x:c r="N423" s="26"/>
      <x:c r="O423" s="26"/>
      <x:c r="P423" s="26"/>
      <x:c r="Q423" s="26"/>
      <x:c r="R423" s="26"/>
      <x:c r="S423" s="26"/>
      <x:c r="T423" s="26"/>
      <x:c r="U423" s="26"/>
      <x:c r="V423" s="26"/>
      <x:c r="W423" s="26"/>
      <x:c r="X423" s="26"/>
      <x:c r="Y423" s="26"/>
      <x:c r="Z423" s="26"/>
    </x:row>
    <x:row r="424">
      <x:c r="A424" s="26"/>
      <x:c r="B424" s="26"/>
      <x:c r="C424" s="26"/>
      <x:c r="D424" s="26"/>
      <x:c r="E424" s="26"/>
      <x:c r="F424" s="26"/>
      <x:c r="G424" s="26"/>
      <x:c r="H424" s="26"/>
      <x:c r="I424" s="36"/>
      <x:c r="J424" s="26"/>
      <x:c r="K424" s="26"/>
      <x:c r="L424" s="26"/>
      <x:c r="M424" s="26"/>
      <x:c r="N424" s="26"/>
      <x:c r="O424" s="26"/>
      <x:c r="P424" s="26"/>
      <x:c r="Q424" s="26"/>
      <x:c r="R424" s="26"/>
      <x:c r="S424" s="26"/>
      <x:c r="T424" s="26"/>
      <x:c r="U424" s="26"/>
      <x:c r="V424" s="26"/>
      <x:c r="W424" s="26"/>
      <x:c r="X424" s="26"/>
      <x:c r="Y424" s="26"/>
      <x:c r="Z424" s="26"/>
    </x:row>
    <x:row r="425">
      <x:c r="A425" s="26"/>
      <x:c r="B425" s="26"/>
      <x:c r="C425" s="26"/>
      <x:c r="D425" s="26"/>
      <x:c r="E425" s="26"/>
      <x:c r="F425" s="26"/>
      <x:c r="G425" s="26"/>
      <x:c r="H425" s="26"/>
      <x:c r="I425" s="36"/>
      <x:c r="J425" s="26"/>
      <x:c r="K425" s="26"/>
      <x:c r="L425" s="26"/>
      <x:c r="M425" s="26"/>
      <x:c r="N425" s="26"/>
      <x:c r="O425" s="26"/>
      <x:c r="P425" s="26"/>
      <x:c r="Q425" s="26"/>
      <x:c r="R425" s="26"/>
      <x:c r="S425" s="26"/>
      <x:c r="T425" s="26"/>
      <x:c r="U425" s="26"/>
      <x:c r="V425" s="26"/>
      <x:c r="W425" s="26"/>
      <x:c r="X425" s="26"/>
      <x:c r="Y425" s="26"/>
      <x:c r="Z425" s="26"/>
    </x:row>
    <x:row r="426">
      <x:c r="A426" s="26"/>
      <x:c r="B426" s="26"/>
      <x:c r="C426" s="26"/>
      <x:c r="D426" s="26"/>
      <x:c r="E426" s="26"/>
      <x:c r="F426" s="26"/>
      <x:c r="G426" s="26"/>
      <x:c r="H426" s="26"/>
      <x:c r="I426" s="36"/>
      <x:c r="J426" s="26"/>
      <x:c r="K426" s="26"/>
      <x:c r="L426" s="26"/>
      <x:c r="M426" s="26"/>
      <x:c r="N426" s="26"/>
      <x:c r="O426" s="26"/>
      <x:c r="P426" s="26"/>
      <x:c r="Q426" s="26"/>
      <x:c r="R426" s="26"/>
      <x:c r="S426" s="26"/>
      <x:c r="T426" s="26"/>
      <x:c r="U426" s="26"/>
      <x:c r="V426" s="26"/>
      <x:c r="W426" s="26"/>
      <x:c r="X426" s="26"/>
      <x:c r="Y426" s="26"/>
      <x:c r="Z426" s="26"/>
    </x:row>
    <x:row r="427">
      <x:c r="A427" s="26"/>
      <x:c r="B427" s="26"/>
      <x:c r="C427" s="26"/>
      <x:c r="D427" s="26"/>
      <x:c r="E427" s="26"/>
      <x:c r="F427" s="26"/>
      <x:c r="G427" s="26"/>
      <x:c r="H427" s="26"/>
      <x:c r="I427" s="36"/>
      <x:c r="J427" s="26"/>
      <x:c r="K427" s="26"/>
      <x:c r="L427" s="26"/>
      <x:c r="M427" s="26"/>
      <x:c r="N427" s="26"/>
      <x:c r="O427" s="26"/>
      <x:c r="P427" s="26"/>
      <x:c r="Q427" s="26"/>
      <x:c r="R427" s="26"/>
      <x:c r="S427" s="26"/>
      <x:c r="T427" s="26"/>
      <x:c r="U427" s="26"/>
      <x:c r="V427" s="26"/>
      <x:c r="W427" s="26"/>
      <x:c r="X427" s="26"/>
      <x:c r="Y427" s="26"/>
      <x:c r="Z427" s="26"/>
    </x:row>
    <x:row r="428">
      <x:c r="A428" s="26"/>
      <x:c r="B428" s="26"/>
      <x:c r="C428" s="26"/>
      <x:c r="D428" s="26"/>
      <x:c r="E428" s="26"/>
      <x:c r="F428" s="26"/>
      <x:c r="G428" s="26"/>
      <x:c r="H428" s="26"/>
      <x:c r="I428" s="36"/>
      <x:c r="J428" s="26"/>
      <x:c r="K428" s="26"/>
      <x:c r="L428" s="26"/>
      <x:c r="M428" s="26"/>
      <x:c r="N428" s="26"/>
      <x:c r="O428" s="26"/>
      <x:c r="P428" s="26"/>
      <x:c r="Q428" s="26"/>
      <x:c r="R428" s="26"/>
      <x:c r="S428" s="26"/>
      <x:c r="T428" s="26"/>
      <x:c r="U428" s="26"/>
      <x:c r="V428" s="26"/>
      <x:c r="W428" s="26"/>
      <x:c r="X428" s="26"/>
      <x:c r="Y428" s="26"/>
      <x:c r="Z428" s="26"/>
    </x:row>
    <x:row r="429">
      <x:c r="A429" s="26"/>
      <x:c r="B429" s="26"/>
      <x:c r="C429" s="26"/>
      <x:c r="D429" s="26"/>
      <x:c r="E429" s="26"/>
      <x:c r="F429" s="26"/>
      <x:c r="G429" s="26"/>
      <x:c r="H429" s="26"/>
      <x:c r="I429" s="36"/>
      <x:c r="J429" s="26"/>
      <x:c r="K429" s="26"/>
      <x:c r="L429" s="26"/>
      <x:c r="M429" s="26"/>
      <x:c r="N429" s="26"/>
      <x:c r="O429" s="26"/>
      <x:c r="P429" s="26"/>
      <x:c r="Q429" s="26"/>
      <x:c r="R429" s="26"/>
      <x:c r="S429" s="26"/>
      <x:c r="T429" s="26"/>
      <x:c r="U429" s="26"/>
      <x:c r="V429" s="26"/>
      <x:c r="W429" s="26"/>
      <x:c r="X429" s="26"/>
      <x:c r="Y429" s="26"/>
      <x:c r="Z429" s="26"/>
    </x:row>
    <x:row r="430">
      <x:c r="A430" s="26"/>
      <x:c r="B430" s="26"/>
      <x:c r="C430" s="26"/>
      <x:c r="D430" s="26"/>
      <x:c r="E430" s="26"/>
      <x:c r="F430" s="26"/>
      <x:c r="G430" s="26"/>
      <x:c r="H430" s="26"/>
      <x:c r="I430" s="36"/>
      <x:c r="J430" s="26"/>
      <x:c r="K430" s="26"/>
      <x:c r="L430" s="26"/>
      <x:c r="M430" s="26"/>
      <x:c r="N430" s="26"/>
      <x:c r="O430" s="26"/>
      <x:c r="P430" s="26"/>
      <x:c r="Q430" s="26"/>
      <x:c r="R430" s="26"/>
      <x:c r="S430" s="26"/>
      <x:c r="T430" s="26"/>
      <x:c r="U430" s="26"/>
      <x:c r="V430" s="26"/>
      <x:c r="W430" s="26"/>
      <x:c r="X430" s="26"/>
      <x:c r="Y430" s="26"/>
      <x:c r="Z430" s="26"/>
    </x:row>
    <x:row r="431">
      <x:c r="A431" s="26"/>
      <x:c r="B431" s="26"/>
      <x:c r="C431" s="26"/>
      <x:c r="D431" s="26"/>
      <x:c r="E431" s="26"/>
      <x:c r="F431" s="26"/>
      <x:c r="G431" s="26"/>
      <x:c r="H431" s="26"/>
      <x:c r="I431" s="36"/>
      <x:c r="J431" s="26"/>
      <x:c r="K431" s="26"/>
      <x:c r="L431" s="26"/>
      <x:c r="M431" s="26"/>
      <x:c r="N431" s="26"/>
      <x:c r="O431" s="26"/>
      <x:c r="P431" s="26"/>
      <x:c r="Q431" s="26"/>
      <x:c r="R431" s="26"/>
      <x:c r="S431" s="26"/>
      <x:c r="T431" s="26"/>
      <x:c r="U431" s="26"/>
      <x:c r="V431" s="26"/>
      <x:c r="W431" s="26"/>
      <x:c r="X431" s="26"/>
      <x:c r="Y431" s="26"/>
      <x:c r="Z431" s="26"/>
    </x:row>
    <x:row r="432">
      <x:c r="A432" s="26"/>
      <x:c r="B432" s="26"/>
      <x:c r="C432" s="26"/>
      <x:c r="D432" s="26"/>
      <x:c r="E432" s="26"/>
      <x:c r="F432" s="26"/>
      <x:c r="G432" s="26"/>
      <x:c r="H432" s="26"/>
      <x:c r="I432" s="36"/>
      <x:c r="J432" s="26"/>
      <x:c r="K432" s="26"/>
      <x:c r="L432" s="26"/>
      <x:c r="M432" s="26"/>
      <x:c r="N432" s="26"/>
      <x:c r="O432" s="26"/>
      <x:c r="P432" s="26"/>
      <x:c r="Q432" s="26"/>
      <x:c r="R432" s="26"/>
      <x:c r="S432" s="26"/>
      <x:c r="T432" s="26"/>
      <x:c r="U432" s="26"/>
      <x:c r="V432" s="26"/>
      <x:c r="W432" s="26"/>
      <x:c r="X432" s="26"/>
      <x:c r="Y432" s="26"/>
      <x:c r="Z432" s="26"/>
    </x:row>
    <x:row r="433">
      <x:c r="A433" s="26"/>
      <x:c r="B433" s="26"/>
      <x:c r="C433" s="26"/>
      <x:c r="D433" s="26"/>
      <x:c r="E433" s="26"/>
      <x:c r="F433" s="26"/>
      <x:c r="G433" s="26"/>
      <x:c r="H433" s="26"/>
      <x:c r="I433" s="36"/>
      <x:c r="J433" s="26"/>
      <x:c r="K433" s="26"/>
      <x:c r="L433" s="26"/>
      <x:c r="M433" s="26"/>
      <x:c r="N433" s="26"/>
      <x:c r="O433" s="26"/>
      <x:c r="P433" s="26"/>
      <x:c r="Q433" s="26"/>
      <x:c r="R433" s="26"/>
      <x:c r="S433" s="26"/>
      <x:c r="T433" s="26"/>
      <x:c r="U433" s="26"/>
      <x:c r="V433" s="26"/>
      <x:c r="W433" s="26"/>
      <x:c r="X433" s="26"/>
      <x:c r="Y433" s="26"/>
      <x:c r="Z433" s="26"/>
    </x:row>
    <x:row r="434">
      <x:c r="A434" s="26"/>
      <x:c r="B434" s="26"/>
      <x:c r="C434" s="26"/>
      <x:c r="D434" s="26"/>
      <x:c r="E434" s="26"/>
      <x:c r="F434" s="26"/>
      <x:c r="G434" s="26"/>
      <x:c r="H434" s="26"/>
      <x:c r="I434" s="36"/>
      <x:c r="J434" s="26"/>
      <x:c r="K434" s="26"/>
      <x:c r="L434" s="26"/>
      <x:c r="M434" s="26"/>
      <x:c r="N434" s="26"/>
      <x:c r="O434" s="26"/>
      <x:c r="P434" s="26"/>
      <x:c r="Q434" s="26"/>
      <x:c r="R434" s="26"/>
      <x:c r="S434" s="26"/>
      <x:c r="T434" s="26"/>
      <x:c r="U434" s="26"/>
      <x:c r="V434" s="26"/>
      <x:c r="W434" s="26"/>
      <x:c r="X434" s="26"/>
      <x:c r="Y434" s="26"/>
      <x:c r="Z434" s="26"/>
    </x:row>
    <x:row r="435">
      <x:c r="A435" s="26"/>
      <x:c r="B435" s="26"/>
      <x:c r="C435" s="26"/>
      <x:c r="D435" s="26"/>
      <x:c r="E435" s="26"/>
      <x:c r="F435" s="26"/>
      <x:c r="G435" s="26"/>
      <x:c r="H435" s="26"/>
      <x:c r="I435" s="36"/>
      <x:c r="J435" s="26"/>
      <x:c r="K435" s="26"/>
      <x:c r="L435" s="26"/>
      <x:c r="M435" s="26"/>
      <x:c r="N435" s="26"/>
      <x:c r="O435" s="26"/>
      <x:c r="P435" s="26"/>
      <x:c r="Q435" s="26"/>
      <x:c r="R435" s="26"/>
      <x:c r="S435" s="26"/>
      <x:c r="T435" s="26"/>
      <x:c r="U435" s="26"/>
      <x:c r="V435" s="26"/>
      <x:c r="W435" s="26"/>
      <x:c r="X435" s="26"/>
      <x:c r="Y435" s="26"/>
      <x:c r="Z435" s="26"/>
    </x:row>
    <x:row r="436">
      <x:c r="A436" s="26"/>
      <x:c r="B436" s="26"/>
      <x:c r="C436" s="26"/>
      <x:c r="D436" s="26"/>
      <x:c r="E436" s="26"/>
      <x:c r="F436" s="26"/>
      <x:c r="G436" s="26"/>
      <x:c r="H436" s="26"/>
      <x:c r="I436" s="36"/>
      <x:c r="J436" s="26"/>
      <x:c r="K436" s="26"/>
      <x:c r="L436" s="26"/>
      <x:c r="M436" s="26"/>
      <x:c r="N436" s="26"/>
      <x:c r="O436" s="26"/>
      <x:c r="P436" s="26"/>
      <x:c r="Q436" s="26"/>
      <x:c r="R436" s="26"/>
      <x:c r="S436" s="26"/>
      <x:c r="T436" s="26"/>
      <x:c r="U436" s="26"/>
      <x:c r="V436" s="26"/>
      <x:c r="W436" s="26"/>
      <x:c r="X436" s="26"/>
      <x:c r="Y436" s="26"/>
      <x:c r="Z436" s="26"/>
    </x:row>
    <x:row r="437">
      <x:c r="A437" s="26"/>
      <x:c r="B437" s="26"/>
      <x:c r="C437" s="26"/>
      <x:c r="D437" s="26"/>
      <x:c r="E437" s="26"/>
      <x:c r="F437" s="26"/>
      <x:c r="G437" s="26"/>
      <x:c r="H437" s="26"/>
      <x:c r="I437" s="36"/>
      <x:c r="J437" s="26"/>
      <x:c r="K437" s="26"/>
      <x:c r="L437" s="26"/>
      <x:c r="M437" s="26"/>
      <x:c r="N437" s="26"/>
      <x:c r="O437" s="26"/>
      <x:c r="P437" s="26"/>
      <x:c r="Q437" s="26"/>
      <x:c r="R437" s="26"/>
      <x:c r="S437" s="26"/>
      <x:c r="T437" s="26"/>
      <x:c r="U437" s="26"/>
      <x:c r="V437" s="26"/>
      <x:c r="W437" s="26"/>
      <x:c r="X437" s="26"/>
      <x:c r="Y437" s="26"/>
      <x:c r="Z437" s="26"/>
    </x:row>
    <x:row r="438">
      <x:c r="A438" s="26"/>
      <x:c r="B438" s="26"/>
      <x:c r="C438" s="26"/>
      <x:c r="D438" s="26"/>
      <x:c r="E438" s="26"/>
      <x:c r="F438" s="26"/>
      <x:c r="G438" s="26"/>
      <x:c r="H438" s="26"/>
      <x:c r="I438" s="36"/>
      <x:c r="J438" s="26"/>
      <x:c r="K438" s="26"/>
      <x:c r="L438" s="26"/>
      <x:c r="M438" s="26"/>
      <x:c r="N438" s="26"/>
      <x:c r="O438" s="26"/>
      <x:c r="P438" s="26"/>
      <x:c r="Q438" s="26"/>
      <x:c r="R438" s="26"/>
      <x:c r="S438" s="26"/>
      <x:c r="T438" s="26"/>
      <x:c r="U438" s="26"/>
      <x:c r="V438" s="26"/>
      <x:c r="W438" s="26"/>
      <x:c r="X438" s="26"/>
      <x:c r="Y438" s="26"/>
      <x:c r="Z438" s="26"/>
    </x:row>
    <x:row r="439">
      <x:c r="A439" s="26"/>
      <x:c r="B439" s="26"/>
      <x:c r="C439" s="26"/>
      <x:c r="D439" s="26"/>
      <x:c r="E439" s="26"/>
      <x:c r="F439" s="26"/>
      <x:c r="G439" s="26"/>
      <x:c r="H439" s="26"/>
      <x:c r="I439" s="36"/>
      <x:c r="J439" s="26"/>
      <x:c r="K439" s="26"/>
      <x:c r="L439" s="26"/>
      <x:c r="M439" s="26"/>
      <x:c r="N439" s="26"/>
      <x:c r="O439" s="26"/>
      <x:c r="P439" s="26"/>
      <x:c r="Q439" s="26"/>
      <x:c r="R439" s="26"/>
      <x:c r="S439" s="26"/>
      <x:c r="T439" s="26"/>
      <x:c r="U439" s="26"/>
      <x:c r="V439" s="26"/>
      <x:c r="W439" s="26"/>
      <x:c r="X439" s="26"/>
      <x:c r="Y439" s="26"/>
      <x:c r="Z439" s="26"/>
    </x:row>
    <x:row r="440">
      <x:c r="A440" s="26"/>
      <x:c r="B440" s="26"/>
      <x:c r="C440" s="26"/>
      <x:c r="D440" s="26"/>
      <x:c r="E440" s="26"/>
      <x:c r="F440" s="26"/>
      <x:c r="G440" s="26"/>
      <x:c r="H440" s="26"/>
      <x:c r="I440" s="36"/>
      <x:c r="J440" s="26"/>
      <x:c r="K440" s="26"/>
      <x:c r="L440" s="26"/>
      <x:c r="M440" s="26"/>
      <x:c r="N440" s="26"/>
      <x:c r="O440" s="26"/>
      <x:c r="P440" s="26"/>
      <x:c r="Q440" s="26"/>
      <x:c r="R440" s="26"/>
      <x:c r="S440" s="26"/>
      <x:c r="T440" s="26"/>
      <x:c r="U440" s="26"/>
      <x:c r="V440" s="26"/>
      <x:c r="W440" s="26"/>
      <x:c r="X440" s="26"/>
      <x:c r="Y440" s="26"/>
      <x:c r="Z440" s="26"/>
    </x:row>
    <x:row r="441">
      <x:c r="A441" s="26"/>
      <x:c r="B441" s="26"/>
      <x:c r="C441" s="26"/>
      <x:c r="D441" s="26"/>
      <x:c r="E441" s="26"/>
      <x:c r="F441" s="26"/>
      <x:c r="G441" s="26"/>
      <x:c r="H441" s="26"/>
      <x:c r="I441" s="36"/>
      <x:c r="J441" s="26"/>
      <x:c r="K441" s="26"/>
      <x:c r="L441" s="26"/>
      <x:c r="M441" s="26"/>
      <x:c r="N441" s="26"/>
      <x:c r="O441" s="26"/>
      <x:c r="P441" s="26"/>
      <x:c r="Q441" s="26"/>
      <x:c r="R441" s="26"/>
      <x:c r="S441" s="26"/>
      <x:c r="T441" s="26"/>
      <x:c r="U441" s="26"/>
      <x:c r="V441" s="26"/>
      <x:c r="W441" s="26"/>
      <x:c r="X441" s="26"/>
      <x:c r="Y441" s="26"/>
      <x:c r="Z441" s="26"/>
    </x:row>
    <x:row r="442">
      <x:c r="A442" s="26"/>
      <x:c r="B442" s="26"/>
      <x:c r="C442" s="26"/>
      <x:c r="D442" s="26"/>
      <x:c r="E442" s="26"/>
      <x:c r="F442" s="26"/>
      <x:c r="G442" s="26"/>
      <x:c r="H442" s="26"/>
      <x:c r="I442" s="36"/>
      <x:c r="J442" s="26"/>
      <x:c r="K442" s="26"/>
      <x:c r="L442" s="26"/>
      <x:c r="M442" s="26"/>
      <x:c r="N442" s="26"/>
      <x:c r="O442" s="26"/>
      <x:c r="P442" s="26"/>
      <x:c r="Q442" s="26"/>
      <x:c r="R442" s="26"/>
      <x:c r="S442" s="26"/>
      <x:c r="T442" s="26"/>
      <x:c r="U442" s="26"/>
      <x:c r="V442" s="26"/>
      <x:c r="W442" s="26"/>
      <x:c r="X442" s="26"/>
      <x:c r="Y442" s="26"/>
      <x:c r="Z442" s="26"/>
    </x:row>
    <x:row r="443">
      <x:c r="A443" s="26"/>
      <x:c r="B443" s="26"/>
      <x:c r="C443" s="26"/>
      <x:c r="D443" s="26"/>
      <x:c r="E443" s="26"/>
      <x:c r="F443" s="26"/>
      <x:c r="G443" s="26"/>
      <x:c r="H443" s="26"/>
      <x:c r="I443" s="36"/>
      <x:c r="J443" s="26"/>
      <x:c r="K443" s="26"/>
      <x:c r="L443" s="26"/>
      <x:c r="M443" s="26"/>
      <x:c r="N443" s="26"/>
      <x:c r="O443" s="26"/>
      <x:c r="P443" s="26"/>
      <x:c r="Q443" s="26"/>
      <x:c r="R443" s="26"/>
      <x:c r="S443" s="26"/>
      <x:c r="T443" s="26"/>
      <x:c r="U443" s="26"/>
      <x:c r="V443" s="26"/>
      <x:c r="W443" s="26"/>
      <x:c r="X443" s="26"/>
      <x:c r="Y443" s="26"/>
      <x:c r="Z443" s="26"/>
    </x:row>
    <x:row r="444">
      <x:c r="A444" s="26"/>
      <x:c r="B444" s="26"/>
      <x:c r="C444" s="26"/>
      <x:c r="D444" s="26"/>
      <x:c r="E444" s="26"/>
      <x:c r="F444" s="26"/>
      <x:c r="G444" s="26"/>
      <x:c r="H444" s="26"/>
      <x:c r="I444" s="36"/>
      <x:c r="J444" s="26"/>
      <x:c r="K444" s="26"/>
      <x:c r="L444" s="26"/>
      <x:c r="M444" s="26"/>
      <x:c r="N444" s="26"/>
      <x:c r="O444" s="26"/>
      <x:c r="P444" s="26"/>
      <x:c r="Q444" s="26"/>
      <x:c r="R444" s="26"/>
      <x:c r="S444" s="26"/>
      <x:c r="T444" s="26"/>
      <x:c r="U444" s="26"/>
      <x:c r="V444" s="26"/>
      <x:c r="W444" s="26"/>
      <x:c r="X444" s="26"/>
      <x:c r="Y444" s="26"/>
      <x:c r="Z444" s="26"/>
    </x:row>
    <x:row r="445">
      <x:c r="A445" s="26"/>
      <x:c r="B445" s="26"/>
      <x:c r="C445" s="26"/>
      <x:c r="D445" s="26"/>
      <x:c r="E445" s="26"/>
      <x:c r="F445" s="26"/>
      <x:c r="G445" s="26"/>
      <x:c r="H445" s="26"/>
      <x:c r="I445" s="36"/>
      <x:c r="J445" s="26"/>
      <x:c r="K445" s="26"/>
      <x:c r="L445" s="26"/>
      <x:c r="M445" s="26"/>
      <x:c r="N445" s="26"/>
      <x:c r="O445" s="26"/>
      <x:c r="P445" s="26"/>
      <x:c r="Q445" s="26"/>
      <x:c r="R445" s="26"/>
      <x:c r="S445" s="26"/>
      <x:c r="T445" s="26"/>
      <x:c r="U445" s="26"/>
      <x:c r="V445" s="26"/>
      <x:c r="W445" s="26"/>
      <x:c r="X445" s="26"/>
      <x:c r="Y445" s="26"/>
      <x:c r="Z445" s="26"/>
    </x:row>
    <x:row r="446">
      <x:c r="A446" s="26"/>
      <x:c r="B446" s="26"/>
      <x:c r="C446" s="26"/>
      <x:c r="D446" s="26"/>
      <x:c r="E446" s="26"/>
      <x:c r="F446" s="26"/>
      <x:c r="G446" s="26"/>
      <x:c r="H446" s="26"/>
      <x:c r="I446" s="36"/>
      <x:c r="J446" s="26"/>
      <x:c r="K446" s="26"/>
      <x:c r="L446" s="26"/>
      <x:c r="M446" s="26"/>
      <x:c r="N446" s="26"/>
      <x:c r="O446" s="26"/>
      <x:c r="P446" s="26"/>
      <x:c r="Q446" s="26"/>
      <x:c r="R446" s="26"/>
      <x:c r="S446" s="26"/>
      <x:c r="T446" s="26"/>
      <x:c r="U446" s="26"/>
      <x:c r="V446" s="26"/>
      <x:c r="W446" s="26"/>
      <x:c r="X446" s="26"/>
      <x:c r="Y446" s="26"/>
      <x:c r="Z446" s="26"/>
    </x:row>
    <x:row r="447">
      <x:c r="A447" s="26"/>
      <x:c r="B447" s="26"/>
      <x:c r="C447" s="26"/>
      <x:c r="D447" s="26"/>
      <x:c r="E447" s="26"/>
      <x:c r="F447" s="26"/>
      <x:c r="G447" s="26"/>
      <x:c r="H447" s="26"/>
      <x:c r="I447" s="36"/>
      <x:c r="J447" s="26"/>
      <x:c r="K447" s="26"/>
      <x:c r="L447" s="26"/>
      <x:c r="M447" s="26"/>
      <x:c r="N447" s="26"/>
      <x:c r="O447" s="26"/>
      <x:c r="P447" s="26"/>
      <x:c r="Q447" s="26"/>
      <x:c r="R447" s="26"/>
      <x:c r="S447" s="26"/>
      <x:c r="T447" s="26"/>
      <x:c r="U447" s="26"/>
      <x:c r="V447" s="26"/>
      <x:c r="W447" s="26"/>
      <x:c r="X447" s="26"/>
      <x:c r="Y447" s="26"/>
      <x:c r="Z447" s="26"/>
    </x:row>
    <x:row r="448">
      <x:c r="A448" s="26"/>
      <x:c r="B448" s="26"/>
      <x:c r="C448" s="26"/>
      <x:c r="D448" s="26"/>
      <x:c r="E448" s="26"/>
      <x:c r="F448" s="26"/>
      <x:c r="G448" s="26"/>
      <x:c r="H448" s="26"/>
      <x:c r="I448" s="36"/>
      <x:c r="J448" s="26"/>
      <x:c r="K448" s="26"/>
      <x:c r="L448" s="26"/>
      <x:c r="M448" s="26"/>
      <x:c r="N448" s="26"/>
      <x:c r="O448" s="26"/>
      <x:c r="P448" s="26"/>
      <x:c r="Q448" s="26"/>
      <x:c r="R448" s="26"/>
      <x:c r="S448" s="26"/>
      <x:c r="T448" s="26"/>
      <x:c r="U448" s="26"/>
      <x:c r="V448" s="26"/>
      <x:c r="W448" s="26"/>
      <x:c r="X448" s="26"/>
      <x:c r="Y448" s="26"/>
      <x:c r="Z448" s="26"/>
    </x:row>
    <x:row r="449">
      <x:c r="A449" s="26"/>
      <x:c r="B449" s="26"/>
      <x:c r="C449" s="26"/>
      <x:c r="D449" s="26"/>
      <x:c r="E449" s="26"/>
      <x:c r="F449" s="26"/>
      <x:c r="G449" s="26"/>
      <x:c r="H449" s="26"/>
      <x:c r="I449" s="36"/>
      <x:c r="J449" s="26"/>
      <x:c r="K449" s="26"/>
      <x:c r="L449" s="26"/>
      <x:c r="M449" s="26"/>
      <x:c r="N449" s="26"/>
      <x:c r="O449" s="26"/>
      <x:c r="P449" s="26"/>
      <x:c r="Q449" s="26"/>
      <x:c r="R449" s="26"/>
      <x:c r="S449" s="26"/>
      <x:c r="T449" s="26"/>
      <x:c r="U449" s="26"/>
      <x:c r="V449" s="26"/>
      <x:c r="W449" s="26"/>
      <x:c r="X449" s="26"/>
      <x:c r="Y449" s="26"/>
      <x:c r="Z449" s="26"/>
    </x:row>
    <x:row r="450">
      <x:c r="A450" s="26"/>
      <x:c r="B450" s="26"/>
      <x:c r="C450" s="26"/>
      <x:c r="D450" s="26"/>
      <x:c r="E450" s="26"/>
      <x:c r="F450" s="26"/>
      <x:c r="G450" s="26"/>
      <x:c r="H450" s="26"/>
      <x:c r="I450" s="36"/>
      <x:c r="J450" s="26"/>
      <x:c r="K450" s="26"/>
      <x:c r="L450" s="26"/>
      <x:c r="M450" s="26"/>
      <x:c r="N450" s="26"/>
      <x:c r="O450" s="26"/>
      <x:c r="P450" s="26"/>
      <x:c r="Q450" s="26"/>
      <x:c r="R450" s="26"/>
      <x:c r="S450" s="26"/>
      <x:c r="T450" s="26"/>
      <x:c r="U450" s="26"/>
      <x:c r="V450" s="26"/>
      <x:c r="W450" s="26"/>
      <x:c r="X450" s="26"/>
      <x:c r="Y450" s="26"/>
      <x:c r="Z450" s="26"/>
    </x:row>
    <x:row r="451">
      <x:c r="A451" s="26"/>
      <x:c r="B451" s="26"/>
      <x:c r="C451" s="26"/>
      <x:c r="D451" s="26"/>
      <x:c r="E451" s="26"/>
      <x:c r="F451" s="26"/>
      <x:c r="G451" s="26"/>
      <x:c r="H451" s="26"/>
      <x:c r="I451" s="36"/>
      <x:c r="J451" s="26"/>
      <x:c r="K451" s="26"/>
      <x:c r="L451" s="26"/>
      <x:c r="M451" s="26"/>
      <x:c r="N451" s="26"/>
      <x:c r="O451" s="26"/>
      <x:c r="P451" s="26"/>
      <x:c r="Q451" s="26"/>
      <x:c r="R451" s="26"/>
      <x:c r="S451" s="26"/>
      <x:c r="T451" s="26"/>
      <x:c r="U451" s="26"/>
      <x:c r="V451" s="26"/>
      <x:c r="W451" s="26"/>
      <x:c r="X451" s="26"/>
      <x:c r="Y451" s="26"/>
      <x:c r="Z451" s="26"/>
    </x:row>
    <x:row r="452">
      <x:c r="A452" s="26"/>
      <x:c r="B452" s="26"/>
      <x:c r="C452" s="26"/>
      <x:c r="D452" s="26"/>
      <x:c r="E452" s="26"/>
      <x:c r="F452" s="26"/>
      <x:c r="G452" s="26"/>
      <x:c r="H452" s="26"/>
      <x:c r="I452" s="36"/>
      <x:c r="J452" s="26"/>
      <x:c r="K452" s="26"/>
      <x:c r="L452" s="26"/>
      <x:c r="M452" s="26"/>
      <x:c r="N452" s="26"/>
      <x:c r="O452" s="26"/>
      <x:c r="P452" s="26"/>
      <x:c r="Q452" s="26"/>
      <x:c r="R452" s="26"/>
      <x:c r="S452" s="26"/>
      <x:c r="T452" s="26"/>
      <x:c r="U452" s="26"/>
      <x:c r="V452" s="26"/>
      <x:c r="W452" s="26"/>
      <x:c r="X452" s="26"/>
      <x:c r="Y452" s="26"/>
      <x:c r="Z452" s="26"/>
    </x:row>
    <x:row r="453">
      <x:c r="A453" s="26"/>
      <x:c r="B453" s="26"/>
      <x:c r="C453" s="26"/>
      <x:c r="D453" s="26"/>
      <x:c r="E453" s="26"/>
      <x:c r="F453" s="26"/>
      <x:c r="G453" s="26"/>
      <x:c r="H453" s="26"/>
      <x:c r="I453" s="36"/>
      <x:c r="J453" s="26"/>
      <x:c r="K453" s="26"/>
      <x:c r="L453" s="26"/>
      <x:c r="M453" s="26"/>
      <x:c r="N453" s="26"/>
      <x:c r="O453" s="26"/>
      <x:c r="P453" s="26"/>
      <x:c r="Q453" s="26"/>
      <x:c r="R453" s="26"/>
      <x:c r="S453" s="26"/>
      <x:c r="T453" s="26"/>
      <x:c r="U453" s="26"/>
      <x:c r="V453" s="26"/>
      <x:c r="W453" s="26"/>
      <x:c r="X453" s="26"/>
      <x:c r="Y453" s="26"/>
      <x:c r="Z453" s="26"/>
    </x:row>
    <x:row r="454">
      <x:c r="A454" s="26"/>
      <x:c r="B454" s="26"/>
      <x:c r="C454" s="26"/>
      <x:c r="D454" s="26"/>
      <x:c r="E454" s="26"/>
      <x:c r="F454" s="26"/>
      <x:c r="G454" s="26"/>
      <x:c r="H454" s="26"/>
      <x:c r="I454" s="36"/>
      <x:c r="J454" s="26"/>
      <x:c r="K454" s="26"/>
      <x:c r="L454" s="26"/>
      <x:c r="M454" s="26"/>
      <x:c r="N454" s="26"/>
      <x:c r="O454" s="26"/>
      <x:c r="P454" s="26"/>
      <x:c r="Q454" s="26"/>
      <x:c r="R454" s="26"/>
      <x:c r="S454" s="26"/>
      <x:c r="T454" s="26"/>
      <x:c r="U454" s="26"/>
      <x:c r="V454" s="26"/>
      <x:c r="W454" s="26"/>
      <x:c r="X454" s="26"/>
      <x:c r="Y454" s="26"/>
      <x:c r="Z454" s="26"/>
    </x:row>
    <x:row r="455">
      <x:c r="A455" s="26"/>
      <x:c r="B455" s="26"/>
      <x:c r="C455" s="26"/>
      <x:c r="D455" s="26"/>
      <x:c r="E455" s="26"/>
      <x:c r="F455" s="26"/>
      <x:c r="G455" s="26"/>
      <x:c r="H455" s="26"/>
      <x:c r="I455" s="36"/>
      <x:c r="J455" s="26"/>
      <x:c r="K455" s="26"/>
      <x:c r="L455" s="26"/>
      <x:c r="M455" s="26"/>
      <x:c r="N455" s="26"/>
      <x:c r="O455" s="26"/>
      <x:c r="P455" s="26"/>
      <x:c r="Q455" s="26"/>
      <x:c r="R455" s="26"/>
      <x:c r="S455" s="26"/>
      <x:c r="T455" s="26"/>
      <x:c r="U455" s="26"/>
      <x:c r="V455" s="26"/>
      <x:c r="W455" s="26"/>
      <x:c r="X455" s="26"/>
      <x:c r="Y455" s="26"/>
      <x:c r="Z455" s="26"/>
    </x:row>
    <x:row r="456">
      <x:c r="A456" s="26"/>
      <x:c r="B456" s="26"/>
      <x:c r="C456" s="26"/>
      <x:c r="D456" s="26"/>
      <x:c r="E456" s="26"/>
      <x:c r="F456" s="26"/>
      <x:c r="G456" s="26"/>
      <x:c r="H456" s="26"/>
      <x:c r="I456" s="36"/>
      <x:c r="J456" s="26"/>
      <x:c r="K456" s="26"/>
      <x:c r="L456" s="26"/>
      <x:c r="M456" s="26"/>
      <x:c r="N456" s="26"/>
      <x:c r="O456" s="26"/>
      <x:c r="P456" s="26"/>
      <x:c r="Q456" s="26"/>
      <x:c r="R456" s="26"/>
      <x:c r="S456" s="26"/>
      <x:c r="T456" s="26"/>
      <x:c r="U456" s="26"/>
      <x:c r="V456" s="26"/>
      <x:c r="W456" s="26"/>
      <x:c r="X456" s="26"/>
      <x:c r="Y456" s="26"/>
      <x:c r="Z456" s="26"/>
    </x:row>
    <x:row r="457">
      <x:c r="A457" s="26"/>
      <x:c r="B457" s="26"/>
      <x:c r="C457" s="26"/>
      <x:c r="D457" s="26"/>
      <x:c r="E457" s="26"/>
      <x:c r="F457" s="26"/>
      <x:c r="G457" s="26"/>
      <x:c r="H457" s="26"/>
      <x:c r="I457" s="36"/>
      <x:c r="J457" s="26"/>
      <x:c r="K457" s="26"/>
      <x:c r="L457" s="26"/>
      <x:c r="M457" s="26"/>
      <x:c r="N457" s="26"/>
      <x:c r="O457" s="26"/>
      <x:c r="P457" s="26"/>
      <x:c r="Q457" s="26"/>
      <x:c r="R457" s="26"/>
      <x:c r="S457" s="26"/>
      <x:c r="T457" s="26"/>
      <x:c r="U457" s="26"/>
      <x:c r="V457" s="26"/>
      <x:c r="W457" s="26"/>
      <x:c r="X457" s="26"/>
      <x:c r="Y457" s="26"/>
      <x:c r="Z457" s="26"/>
    </x:row>
    <x:row r="458">
      <x:c r="A458" s="26"/>
      <x:c r="B458" s="26"/>
      <x:c r="C458" s="26"/>
      <x:c r="D458" s="26"/>
      <x:c r="E458" s="26"/>
      <x:c r="F458" s="26"/>
      <x:c r="G458" s="26"/>
      <x:c r="H458" s="26"/>
      <x:c r="I458" s="36"/>
      <x:c r="J458" s="26"/>
      <x:c r="K458" s="26"/>
      <x:c r="L458" s="26"/>
      <x:c r="M458" s="26"/>
      <x:c r="N458" s="26"/>
      <x:c r="O458" s="26"/>
      <x:c r="P458" s="26"/>
      <x:c r="Q458" s="26"/>
      <x:c r="R458" s="26"/>
      <x:c r="S458" s="26"/>
      <x:c r="T458" s="26"/>
      <x:c r="U458" s="26"/>
      <x:c r="V458" s="26"/>
      <x:c r="W458" s="26"/>
      <x:c r="X458" s="26"/>
      <x:c r="Y458" s="26"/>
      <x:c r="Z458" s="26"/>
    </x:row>
    <x:row r="459">
      <x:c r="A459" s="26"/>
      <x:c r="B459" s="26"/>
      <x:c r="C459" s="26"/>
      <x:c r="D459" s="26"/>
      <x:c r="E459" s="26"/>
      <x:c r="F459" s="26"/>
      <x:c r="G459" s="26"/>
      <x:c r="H459" s="26"/>
      <x:c r="I459" s="36"/>
      <x:c r="J459" s="26"/>
      <x:c r="K459" s="26"/>
      <x:c r="L459" s="26"/>
      <x:c r="M459" s="26"/>
      <x:c r="N459" s="26"/>
      <x:c r="O459" s="26"/>
      <x:c r="P459" s="26"/>
      <x:c r="Q459" s="26"/>
      <x:c r="R459" s="26"/>
      <x:c r="S459" s="26"/>
      <x:c r="T459" s="26"/>
      <x:c r="U459" s="26"/>
      <x:c r="V459" s="26"/>
      <x:c r="W459" s="26"/>
      <x:c r="X459" s="26"/>
      <x:c r="Y459" s="26"/>
      <x:c r="Z459" s="26"/>
    </x:row>
    <x:row r="460">
      <x:c r="A460" s="26"/>
      <x:c r="B460" s="26"/>
      <x:c r="C460" s="26"/>
      <x:c r="D460" s="26"/>
      <x:c r="E460" s="26"/>
      <x:c r="F460" s="26"/>
      <x:c r="G460" s="26"/>
      <x:c r="H460" s="26"/>
      <x:c r="I460" s="36"/>
      <x:c r="J460" s="26"/>
      <x:c r="K460" s="26"/>
      <x:c r="L460" s="26"/>
      <x:c r="M460" s="26"/>
      <x:c r="N460" s="26"/>
      <x:c r="O460" s="26"/>
      <x:c r="P460" s="26"/>
      <x:c r="Q460" s="26"/>
      <x:c r="R460" s="26"/>
      <x:c r="S460" s="26"/>
      <x:c r="T460" s="26"/>
      <x:c r="U460" s="26"/>
      <x:c r="V460" s="26"/>
      <x:c r="W460" s="26"/>
      <x:c r="X460" s="26"/>
      <x:c r="Y460" s="26"/>
      <x:c r="Z460" s="26"/>
    </x:row>
    <x:row r="461">
      <x:c r="A461" s="26"/>
      <x:c r="B461" s="26"/>
      <x:c r="C461" s="26"/>
      <x:c r="D461" s="26"/>
      <x:c r="E461" s="26"/>
      <x:c r="F461" s="26"/>
      <x:c r="G461" s="26"/>
      <x:c r="H461" s="26"/>
      <x:c r="I461" s="36"/>
      <x:c r="J461" s="26"/>
      <x:c r="K461" s="26"/>
      <x:c r="L461" s="26"/>
      <x:c r="M461" s="26"/>
      <x:c r="N461" s="26"/>
      <x:c r="O461" s="26"/>
      <x:c r="P461" s="26"/>
      <x:c r="Q461" s="26"/>
      <x:c r="R461" s="26"/>
      <x:c r="S461" s="26"/>
      <x:c r="T461" s="26"/>
      <x:c r="U461" s="26"/>
      <x:c r="V461" s="26"/>
      <x:c r="W461" s="26"/>
      <x:c r="X461" s="26"/>
      <x:c r="Y461" s="26"/>
      <x:c r="Z461" s="26"/>
    </x:row>
    <x:row r="462">
      <x:c r="A462" s="26"/>
      <x:c r="B462" s="26"/>
      <x:c r="C462" s="26"/>
      <x:c r="D462" s="26"/>
      <x:c r="E462" s="26"/>
      <x:c r="F462" s="26"/>
      <x:c r="G462" s="26"/>
      <x:c r="H462" s="26"/>
      <x:c r="I462" s="36"/>
      <x:c r="J462" s="26"/>
      <x:c r="K462" s="26"/>
      <x:c r="L462" s="26"/>
      <x:c r="M462" s="26"/>
      <x:c r="N462" s="26"/>
      <x:c r="O462" s="26"/>
      <x:c r="P462" s="26"/>
      <x:c r="Q462" s="26"/>
      <x:c r="R462" s="26"/>
      <x:c r="S462" s="26"/>
      <x:c r="T462" s="26"/>
      <x:c r="U462" s="26"/>
      <x:c r="V462" s="26"/>
      <x:c r="W462" s="26"/>
      <x:c r="X462" s="26"/>
      <x:c r="Y462" s="26"/>
      <x:c r="Z462" s="26"/>
    </x:row>
    <x:row r="463">
      <x:c r="A463" s="26"/>
      <x:c r="B463" s="26"/>
      <x:c r="C463" s="26"/>
      <x:c r="D463" s="26"/>
      <x:c r="E463" s="26"/>
      <x:c r="F463" s="26"/>
      <x:c r="G463" s="26"/>
      <x:c r="H463" s="26"/>
      <x:c r="I463" s="36"/>
      <x:c r="J463" s="26"/>
      <x:c r="K463" s="26"/>
      <x:c r="L463" s="26"/>
      <x:c r="M463" s="26"/>
      <x:c r="N463" s="26"/>
      <x:c r="O463" s="26"/>
      <x:c r="P463" s="26"/>
      <x:c r="Q463" s="26"/>
      <x:c r="R463" s="26"/>
      <x:c r="S463" s="26"/>
      <x:c r="T463" s="26"/>
      <x:c r="U463" s="26"/>
      <x:c r="V463" s="26"/>
      <x:c r="W463" s="26"/>
      <x:c r="X463" s="26"/>
      <x:c r="Y463" s="26"/>
      <x:c r="Z463" s="26"/>
    </x:row>
    <x:row r="464">
      <x:c r="A464" s="26"/>
      <x:c r="B464" s="26"/>
      <x:c r="C464" s="26"/>
      <x:c r="D464" s="26"/>
      <x:c r="E464" s="26"/>
      <x:c r="F464" s="26"/>
      <x:c r="G464" s="26"/>
      <x:c r="H464" s="26"/>
      <x:c r="I464" s="36"/>
      <x:c r="J464" s="26"/>
      <x:c r="K464" s="26"/>
      <x:c r="L464" s="26"/>
      <x:c r="M464" s="26"/>
      <x:c r="N464" s="26"/>
      <x:c r="O464" s="26"/>
      <x:c r="P464" s="26"/>
      <x:c r="Q464" s="26"/>
      <x:c r="R464" s="26"/>
      <x:c r="S464" s="26"/>
      <x:c r="T464" s="26"/>
      <x:c r="U464" s="26"/>
      <x:c r="V464" s="26"/>
      <x:c r="W464" s="26"/>
      <x:c r="X464" s="26"/>
      <x:c r="Y464" s="26"/>
      <x:c r="Z464" s="26"/>
    </x:row>
    <x:row r="465">
      <x:c r="A465" s="26"/>
      <x:c r="B465" s="26"/>
      <x:c r="C465" s="26"/>
      <x:c r="D465" s="26"/>
      <x:c r="E465" s="26"/>
      <x:c r="F465" s="26"/>
      <x:c r="G465" s="26"/>
      <x:c r="H465" s="26"/>
      <x:c r="I465" s="36"/>
      <x:c r="J465" s="26"/>
      <x:c r="K465" s="26"/>
      <x:c r="L465" s="26"/>
      <x:c r="M465" s="26"/>
      <x:c r="N465" s="26"/>
      <x:c r="O465" s="26"/>
      <x:c r="P465" s="26"/>
      <x:c r="Q465" s="26"/>
      <x:c r="R465" s="26"/>
      <x:c r="S465" s="26"/>
      <x:c r="T465" s="26"/>
      <x:c r="U465" s="26"/>
      <x:c r="V465" s="26"/>
      <x:c r="W465" s="26"/>
      <x:c r="X465" s="26"/>
      <x:c r="Y465" s="26"/>
      <x:c r="Z465" s="26"/>
    </x:row>
    <x:row r="466">
      <x:c r="A466" s="26"/>
      <x:c r="B466" s="26"/>
      <x:c r="C466" s="26"/>
      <x:c r="D466" s="26"/>
      <x:c r="E466" s="26"/>
      <x:c r="F466" s="26"/>
      <x:c r="G466" s="26"/>
      <x:c r="H466" s="26"/>
      <x:c r="I466" s="36"/>
      <x:c r="J466" s="26"/>
      <x:c r="K466" s="26"/>
      <x:c r="L466" s="26"/>
      <x:c r="M466" s="26"/>
      <x:c r="N466" s="26"/>
      <x:c r="O466" s="26"/>
      <x:c r="P466" s="26"/>
      <x:c r="Q466" s="26"/>
      <x:c r="R466" s="26"/>
      <x:c r="S466" s="26"/>
      <x:c r="T466" s="26"/>
      <x:c r="U466" s="26"/>
      <x:c r="V466" s="26"/>
      <x:c r="W466" s="26"/>
      <x:c r="X466" s="26"/>
      <x:c r="Y466" s="26"/>
      <x:c r="Z466" s="26"/>
    </x:row>
    <x:row r="467">
      <x:c r="A467" s="26"/>
      <x:c r="B467" s="26"/>
      <x:c r="C467" s="26"/>
      <x:c r="D467" s="26"/>
      <x:c r="E467" s="26"/>
      <x:c r="F467" s="26"/>
      <x:c r="G467" s="26"/>
      <x:c r="H467" s="26"/>
      <x:c r="I467" s="36"/>
      <x:c r="J467" s="26"/>
      <x:c r="K467" s="26"/>
      <x:c r="L467" s="26"/>
      <x:c r="M467" s="26"/>
      <x:c r="N467" s="26"/>
      <x:c r="O467" s="26"/>
      <x:c r="P467" s="26"/>
      <x:c r="Q467" s="26"/>
      <x:c r="R467" s="26"/>
      <x:c r="S467" s="26"/>
      <x:c r="T467" s="26"/>
      <x:c r="U467" s="26"/>
      <x:c r="V467" s="26"/>
      <x:c r="W467" s="26"/>
      <x:c r="X467" s="26"/>
      <x:c r="Y467" s="26"/>
      <x:c r="Z467" s="26"/>
    </x:row>
    <x:row r="468">
      <x:c r="A468" s="26"/>
      <x:c r="B468" s="26"/>
      <x:c r="C468" s="26"/>
      <x:c r="D468" s="26"/>
      <x:c r="E468" s="26"/>
      <x:c r="F468" s="26"/>
      <x:c r="G468" s="26"/>
      <x:c r="H468" s="26"/>
      <x:c r="I468" s="36"/>
      <x:c r="J468" s="26"/>
      <x:c r="K468" s="26"/>
      <x:c r="L468" s="26"/>
      <x:c r="M468" s="26"/>
      <x:c r="N468" s="26"/>
      <x:c r="O468" s="26"/>
      <x:c r="P468" s="26"/>
      <x:c r="Q468" s="26"/>
      <x:c r="R468" s="26"/>
      <x:c r="S468" s="26"/>
      <x:c r="T468" s="26"/>
      <x:c r="U468" s="26"/>
      <x:c r="V468" s="26"/>
      <x:c r="W468" s="26"/>
      <x:c r="X468" s="26"/>
      <x:c r="Y468" s="26"/>
      <x:c r="Z468" s="26"/>
    </x:row>
    <x:row r="469">
      <x:c r="A469" s="26"/>
      <x:c r="B469" s="26"/>
      <x:c r="C469" s="26"/>
      <x:c r="D469" s="26"/>
      <x:c r="E469" s="26"/>
      <x:c r="F469" s="26"/>
      <x:c r="G469" s="26"/>
      <x:c r="H469" s="26"/>
      <x:c r="I469" s="36"/>
      <x:c r="J469" s="26"/>
      <x:c r="K469" s="26"/>
      <x:c r="L469" s="26"/>
      <x:c r="M469" s="26"/>
      <x:c r="N469" s="26"/>
      <x:c r="O469" s="26"/>
      <x:c r="P469" s="26"/>
      <x:c r="Q469" s="26"/>
      <x:c r="R469" s="26"/>
      <x:c r="S469" s="26"/>
      <x:c r="T469" s="26"/>
      <x:c r="U469" s="26"/>
      <x:c r="V469" s="26"/>
      <x:c r="W469" s="26"/>
      <x:c r="X469" s="26"/>
      <x:c r="Y469" s="26"/>
      <x:c r="Z469" s="26"/>
    </x:row>
    <x:row r="470">
      <x:c r="A470" s="26"/>
      <x:c r="B470" s="26"/>
      <x:c r="C470" s="26"/>
      <x:c r="D470" s="26"/>
      <x:c r="E470" s="26"/>
      <x:c r="F470" s="26"/>
      <x:c r="G470" s="26"/>
      <x:c r="H470" s="26"/>
      <x:c r="I470" s="36"/>
      <x:c r="J470" s="26"/>
      <x:c r="K470" s="26"/>
      <x:c r="L470" s="26"/>
      <x:c r="M470" s="26"/>
      <x:c r="N470" s="26"/>
      <x:c r="O470" s="26"/>
      <x:c r="P470" s="26"/>
      <x:c r="Q470" s="26"/>
      <x:c r="R470" s="26"/>
      <x:c r="S470" s="26"/>
      <x:c r="T470" s="26"/>
      <x:c r="U470" s="26"/>
      <x:c r="V470" s="26"/>
      <x:c r="W470" s="26"/>
      <x:c r="X470" s="26"/>
      <x:c r="Y470" s="26"/>
      <x:c r="Z470" s="26"/>
    </x:row>
    <x:row r="471">
      <x:c r="A471" s="26"/>
      <x:c r="B471" s="26"/>
      <x:c r="C471" s="26"/>
      <x:c r="D471" s="26"/>
      <x:c r="E471" s="26"/>
      <x:c r="F471" s="26"/>
      <x:c r="G471" s="26"/>
      <x:c r="H471" s="26"/>
      <x:c r="I471" s="36"/>
      <x:c r="J471" s="26"/>
      <x:c r="K471" s="26"/>
      <x:c r="L471" s="26"/>
      <x:c r="M471" s="26"/>
      <x:c r="N471" s="26"/>
      <x:c r="O471" s="26"/>
      <x:c r="P471" s="26"/>
      <x:c r="Q471" s="26"/>
      <x:c r="R471" s="26"/>
      <x:c r="S471" s="26"/>
      <x:c r="T471" s="26"/>
      <x:c r="U471" s="26"/>
      <x:c r="V471" s="26"/>
      <x:c r="W471" s="26"/>
      <x:c r="X471" s="26"/>
      <x:c r="Y471" s="26"/>
      <x:c r="Z471" s="26"/>
    </x:row>
    <x:row r="472">
      <x:c r="A472" s="26"/>
      <x:c r="B472" s="26"/>
      <x:c r="C472" s="26"/>
      <x:c r="D472" s="26"/>
      <x:c r="E472" s="26"/>
      <x:c r="F472" s="26"/>
      <x:c r="G472" s="26"/>
      <x:c r="H472" s="26"/>
      <x:c r="I472" s="36"/>
      <x:c r="J472" s="26"/>
      <x:c r="K472" s="26"/>
      <x:c r="L472" s="26"/>
      <x:c r="M472" s="26"/>
      <x:c r="N472" s="26"/>
      <x:c r="O472" s="26"/>
      <x:c r="P472" s="26"/>
      <x:c r="Q472" s="26"/>
      <x:c r="R472" s="26"/>
      <x:c r="S472" s="26"/>
      <x:c r="T472" s="26"/>
      <x:c r="U472" s="26"/>
      <x:c r="V472" s="26"/>
      <x:c r="W472" s="26"/>
      <x:c r="X472" s="26"/>
      <x:c r="Y472" s="26"/>
      <x:c r="Z472" s="26"/>
    </x:row>
    <x:row r="473">
      <x:c r="A473" s="26"/>
      <x:c r="B473" s="26"/>
      <x:c r="C473" s="26"/>
      <x:c r="D473" s="26"/>
      <x:c r="E473" s="26"/>
      <x:c r="F473" s="26"/>
      <x:c r="G473" s="26"/>
      <x:c r="H473" s="26"/>
      <x:c r="I473" s="36"/>
      <x:c r="J473" s="26"/>
      <x:c r="K473" s="26"/>
      <x:c r="L473" s="26"/>
      <x:c r="M473" s="26"/>
      <x:c r="N473" s="26"/>
      <x:c r="O473" s="26"/>
      <x:c r="P473" s="26"/>
      <x:c r="Q473" s="26"/>
      <x:c r="R473" s="26"/>
      <x:c r="S473" s="26"/>
      <x:c r="T473" s="26"/>
      <x:c r="U473" s="26"/>
      <x:c r="V473" s="26"/>
      <x:c r="W473" s="26"/>
      <x:c r="X473" s="26"/>
      <x:c r="Y473" s="26"/>
      <x:c r="Z473" s="26"/>
    </x:row>
    <x:row r="474">
      <x:c r="A474" s="26"/>
      <x:c r="B474" s="26"/>
      <x:c r="C474" s="26"/>
      <x:c r="D474" s="26"/>
      <x:c r="E474" s="26"/>
      <x:c r="F474" s="26"/>
      <x:c r="G474" s="26"/>
      <x:c r="H474" s="26"/>
      <x:c r="I474" s="36"/>
      <x:c r="J474" s="26"/>
      <x:c r="K474" s="26"/>
      <x:c r="L474" s="26"/>
      <x:c r="M474" s="26"/>
      <x:c r="N474" s="26"/>
      <x:c r="O474" s="26"/>
      <x:c r="P474" s="26"/>
      <x:c r="Q474" s="26"/>
      <x:c r="R474" s="26"/>
      <x:c r="S474" s="26"/>
      <x:c r="T474" s="26"/>
      <x:c r="U474" s="26"/>
      <x:c r="V474" s="26"/>
      <x:c r="W474" s="26"/>
      <x:c r="X474" s="26"/>
      <x:c r="Y474" s="26"/>
      <x:c r="Z474" s="26"/>
    </x:row>
    <x:row r="475">
      <x:c r="A475" s="26"/>
      <x:c r="B475" s="26"/>
      <x:c r="C475" s="26"/>
      <x:c r="D475" s="26"/>
      <x:c r="E475" s="26"/>
      <x:c r="F475" s="26"/>
      <x:c r="G475" s="26"/>
      <x:c r="H475" s="26"/>
      <x:c r="I475" s="36"/>
      <x:c r="J475" s="26"/>
      <x:c r="K475" s="26"/>
      <x:c r="L475" s="26"/>
      <x:c r="M475" s="26"/>
      <x:c r="N475" s="26"/>
      <x:c r="O475" s="26"/>
      <x:c r="P475" s="26"/>
      <x:c r="Q475" s="26"/>
      <x:c r="R475" s="26"/>
      <x:c r="S475" s="26"/>
      <x:c r="T475" s="26"/>
      <x:c r="U475" s="26"/>
      <x:c r="V475" s="26"/>
      <x:c r="W475" s="26"/>
      <x:c r="X475" s="26"/>
      <x:c r="Y475" s="26"/>
      <x:c r="Z475" s="26"/>
    </x:row>
    <x:row r="476">
      <x:c r="A476" s="26"/>
      <x:c r="B476" s="26"/>
      <x:c r="C476" s="26"/>
      <x:c r="D476" s="26"/>
      <x:c r="E476" s="26"/>
      <x:c r="F476" s="26"/>
      <x:c r="G476" s="26"/>
      <x:c r="H476" s="26"/>
      <x:c r="I476" s="36"/>
      <x:c r="J476" s="26"/>
      <x:c r="K476" s="26"/>
      <x:c r="L476" s="26"/>
      <x:c r="M476" s="26"/>
      <x:c r="N476" s="26"/>
      <x:c r="O476" s="26"/>
      <x:c r="P476" s="26"/>
      <x:c r="Q476" s="26"/>
      <x:c r="R476" s="26"/>
      <x:c r="S476" s="26"/>
      <x:c r="T476" s="26"/>
      <x:c r="U476" s="26"/>
      <x:c r="V476" s="26"/>
      <x:c r="W476" s="26"/>
      <x:c r="X476" s="26"/>
      <x:c r="Y476" s="26"/>
      <x:c r="Z476" s="26"/>
    </x:row>
    <x:row r="477">
      <x:c r="A477" s="26"/>
      <x:c r="B477" s="26"/>
      <x:c r="C477" s="26"/>
      <x:c r="D477" s="26"/>
      <x:c r="E477" s="26"/>
      <x:c r="F477" s="26"/>
      <x:c r="G477" s="26"/>
      <x:c r="H477" s="26"/>
      <x:c r="I477" s="36"/>
      <x:c r="J477" s="26"/>
      <x:c r="K477" s="26"/>
      <x:c r="L477" s="26"/>
      <x:c r="M477" s="26"/>
      <x:c r="N477" s="26"/>
      <x:c r="O477" s="26"/>
      <x:c r="P477" s="26"/>
      <x:c r="Q477" s="26"/>
      <x:c r="R477" s="26"/>
      <x:c r="S477" s="26"/>
      <x:c r="T477" s="26"/>
      <x:c r="U477" s="26"/>
      <x:c r="V477" s="26"/>
      <x:c r="W477" s="26"/>
      <x:c r="X477" s="26"/>
      <x:c r="Y477" s="26"/>
      <x:c r="Z477" s="26"/>
    </x:row>
    <x:row r="478">
      <x:c r="A478" s="26"/>
      <x:c r="B478" s="26"/>
      <x:c r="C478" s="26"/>
      <x:c r="D478" s="26"/>
      <x:c r="E478" s="26"/>
      <x:c r="F478" s="26"/>
      <x:c r="G478" s="26"/>
      <x:c r="H478" s="26"/>
      <x:c r="I478" s="36"/>
      <x:c r="J478" s="26"/>
      <x:c r="K478" s="26"/>
      <x:c r="L478" s="26"/>
      <x:c r="M478" s="26"/>
      <x:c r="N478" s="26"/>
      <x:c r="O478" s="26"/>
      <x:c r="P478" s="26"/>
      <x:c r="Q478" s="26"/>
      <x:c r="R478" s="26"/>
      <x:c r="S478" s="26"/>
      <x:c r="T478" s="26"/>
      <x:c r="U478" s="26"/>
      <x:c r="V478" s="26"/>
      <x:c r="W478" s="26"/>
      <x:c r="X478" s="26"/>
      <x:c r="Y478" s="26"/>
      <x:c r="Z478" s="26"/>
    </x:row>
    <x:row r="479">
      <x:c r="A479" s="26"/>
      <x:c r="B479" s="26"/>
      <x:c r="C479" s="26"/>
      <x:c r="D479" s="26"/>
      <x:c r="E479" s="26"/>
      <x:c r="F479" s="26"/>
      <x:c r="G479" s="26"/>
      <x:c r="H479" s="26"/>
      <x:c r="I479" s="36"/>
      <x:c r="J479" s="26"/>
      <x:c r="K479" s="26"/>
      <x:c r="L479" s="26"/>
      <x:c r="M479" s="26"/>
      <x:c r="N479" s="26"/>
      <x:c r="O479" s="26"/>
      <x:c r="P479" s="26"/>
      <x:c r="Q479" s="26"/>
      <x:c r="R479" s="26"/>
      <x:c r="S479" s="26"/>
      <x:c r="T479" s="26"/>
      <x:c r="U479" s="26"/>
      <x:c r="V479" s="26"/>
      <x:c r="W479" s="26"/>
      <x:c r="X479" s="26"/>
      <x:c r="Y479" s="26"/>
      <x:c r="Z479" s="26"/>
    </x:row>
    <x:row r="480">
      <x:c r="A480" s="26"/>
      <x:c r="B480" s="26"/>
      <x:c r="C480" s="26"/>
      <x:c r="D480" s="26"/>
      <x:c r="E480" s="26"/>
      <x:c r="F480" s="26"/>
      <x:c r="G480" s="26"/>
      <x:c r="H480" s="26"/>
      <x:c r="I480" s="36"/>
      <x:c r="J480" s="26"/>
      <x:c r="K480" s="26"/>
      <x:c r="L480" s="26"/>
      <x:c r="M480" s="26"/>
      <x:c r="N480" s="26"/>
      <x:c r="O480" s="26"/>
      <x:c r="P480" s="26"/>
      <x:c r="Q480" s="26"/>
      <x:c r="R480" s="26"/>
      <x:c r="S480" s="26"/>
      <x:c r="T480" s="26"/>
      <x:c r="U480" s="26"/>
      <x:c r="V480" s="26"/>
      <x:c r="W480" s="26"/>
      <x:c r="X480" s="26"/>
      <x:c r="Y480" s="26"/>
      <x:c r="Z480" s="26"/>
    </x:row>
    <x:row r="481">
      <x:c r="A481" s="26"/>
      <x:c r="B481" s="26"/>
      <x:c r="C481" s="26"/>
      <x:c r="D481" s="26"/>
      <x:c r="E481" s="26"/>
      <x:c r="F481" s="26"/>
      <x:c r="G481" s="26"/>
      <x:c r="H481" s="26"/>
      <x:c r="I481" s="36"/>
      <x:c r="J481" s="26"/>
      <x:c r="K481" s="26"/>
      <x:c r="L481" s="26"/>
      <x:c r="M481" s="26"/>
      <x:c r="N481" s="26"/>
      <x:c r="O481" s="26"/>
      <x:c r="P481" s="26"/>
      <x:c r="Q481" s="26"/>
      <x:c r="R481" s="26"/>
      <x:c r="S481" s="26"/>
      <x:c r="T481" s="26"/>
      <x:c r="U481" s="26"/>
      <x:c r="V481" s="26"/>
      <x:c r="W481" s="26"/>
      <x:c r="X481" s="26"/>
      <x:c r="Y481" s="26"/>
      <x:c r="Z481" s="26"/>
    </x:row>
    <x:row r="482">
      <x:c r="A482" s="26"/>
      <x:c r="B482" s="26"/>
      <x:c r="C482" s="26"/>
      <x:c r="D482" s="26"/>
      <x:c r="E482" s="26"/>
      <x:c r="F482" s="26"/>
      <x:c r="G482" s="26"/>
      <x:c r="H482" s="26"/>
      <x:c r="I482" s="36"/>
      <x:c r="J482" s="26"/>
      <x:c r="K482" s="26"/>
      <x:c r="L482" s="26"/>
      <x:c r="M482" s="26"/>
      <x:c r="N482" s="26"/>
      <x:c r="O482" s="26"/>
      <x:c r="P482" s="26"/>
      <x:c r="Q482" s="26"/>
      <x:c r="R482" s="26"/>
      <x:c r="S482" s="26"/>
      <x:c r="T482" s="26"/>
      <x:c r="U482" s="26"/>
      <x:c r="V482" s="26"/>
      <x:c r="W482" s="26"/>
      <x:c r="X482" s="26"/>
      <x:c r="Y482" s="26"/>
      <x:c r="Z482" s="26"/>
    </x:row>
    <x:row r="483">
      <x:c r="A483" s="26"/>
      <x:c r="B483" s="26"/>
      <x:c r="C483" s="26"/>
      <x:c r="D483" s="26"/>
      <x:c r="E483" s="26"/>
      <x:c r="F483" s="26"/>
      <x:c r="G483" s="26"/>
      <x:c r="H483" s="26"/>
      <x:c r="I483" s="36"/>
      <x:c r="J483" s="26"/>
      <x:c r="K483" s="26"/>
      <x:c r="L483" s="26"/>
      <x:c r="M483" s="26"/>
      <x:c r="N483" s="26"/>
      <x:c r="O483" s="26"/>
      <x:c r="P483" s="26"/>
      <x:c r="Q483" s="26"/>
      <x:c r="R483" s="26"/>
      <x:c r="S483" s="26"/>
      <x:c r="T483" s="26"/>
      <x:c r="U483" s="26"/>
      <x:c r="V483" s="26"/>
      <x:c r="W483" s="26"/>
      <x:c r="X483" s="26"/>
      <x:c r="Y483" s="26"/>
      <x:c r="Z483" s="26"/>
    </x:row>
    <x:row r="484">
      <x:c r="A484" s="26"/>
      <x:c r="B484" s="26"/>
      <x:c r="C484" s="26"/>
      <x:c r="D484" s="26"/>
      <x:c r="E484" s="26"/>
      <x:c r="F484" s="26"/>
      <x:c r="G484" s="26"/>
      <x:c r="H484" s="26"/>
      <x:c r="I484" s="36"/>
      <x:c r="J484" s="26"/>
      <x:c r="K484" s="26"/>
      <x:c r="L484" s="26"/>
      <x:c r="M484" s="26"/>
      <x:c r="N484" s="26"/>
      <x:c r="O484" s="26"/>
      <x:c r="P484" s="26"/>
      <x:c r="Q484" s="26"/>
      <x:c r="R484" s="26"/>
      <x:c r="S484" s="26"/>
      <x:c r="T484" s="26"/>
      <x:c r="U484" s="26"/>
      <x:c r="V484" s="26"/>
      <x:c r="W484" s="26"/>
      <x:c r="X484" s="26"/>
      <x:c r="Y484" s="26"/>
      <x:c r="Z484" s="26"/>
    </x:row>
    <x:row r="485">
      <x:c r="A485" s="26"/>
      <x:c r="B485" s="26"/>
      <x:c r="C485" s="26"/>
      <x:c r="D485" s="26"/>
      <x:c r="E485" s="26"/>
      <x:c r="F485" s="26"/>
      <x:c r="G485" s="26"/>
      <x:c r="H485" s="26"/>
      <x:c r="I485" s="36"/>
      <x:c r="J485" s="26"/>
      <x:c r="K485" s="26"/>
      <x:c r="L485" s="26"/>
      <x:c r="M485" s="26"/>
      <x:c r="N485" s="26"/>
      <x:c r="O485" s="26"/>
      <x:c r="P485" s="26"/>
      <x:c r="Q485" s="26"/>
      <x:c r="R485" s="26"/>
      <x:c r="S485" s="26"/>
      <x:c r="T485" s="26"/>
      <x:c r="U485" s="26"/>
      <x:c r="V485" s="26"/>
      <x:c r="W485" s="26"/>
      <x:c r="X485" s="26"/>
      <x:c r="Y485" s="26"/>
      <x:c r="Z485" s="26"/>
    </x:row>
    <x:row r="486">
      <x:c r="A486" s="26"/>
      <x:c r="B486" s="26"/>
      <x:c r="C486" s="26"/>
      <x:c r="D486" s="26"/>
      <x:c r="E486" s="26"/>
      <x:c r="F486" s="26"/>
      <x:c r="G486" s="26"/>
      <x:c r="H486" s="26"/>
      <x:c r="I486" s="36"/>
      <x:c r="J486" s="26"/>
      <x:c r="K486" s="26"/>
      <x:c r="L486" s="26"/>
      <x:c r="M486" s="26"/>
      <x:c r="N486" s="26"/>
      <x:c r="O486" s="26"/>
      <x:c r="P486" s="26"/>
      <x:c r="Q486" s="26"/>
      <x:c r="R486" s="26"/>
      <x:c r="S486" s="26"/>
      <x:c r="T486" s="26"/>
      <x:c r="U486" s="26"/>
      <x:c r="V486" s="26"/>
      <x:c r="W486" s="26"/>
      <x:c r="X486" s="26"/>
      <x:c r="Y486" s="26"/>
      <x:c r="Z486" s="26"/>
    </x:row>
    <x:row r="487">
      <x:c r="A487" s="26"/>
      <x:c r="B487" s="26"/>
      <x:c r="C487" s="26"/>
      <x:c r="D487" s="26"/>
      <x:c r="E487" s="26"/>
      <x:c r="F487" s="26"/>
      <x:c r="G487" s="26"/>
      <x:c r="H487" s="26"/>
      <x:c r="I487" s="36"/>
      <x:c r="J487" s="26"/>
      <x:c r="K487" s="26"/>
      <x:c r="L487" s="26"/>
      <x:c r="M487" s="26"/>
      <x:c r="N487" s="26"/>
      <x:c r="O487" s="26"/>
      <x:c r="P487" s="26"/>
      <x:c r="Q487" s="26"/>
      <x:c r="R487" s="26"/>
      <x:c r="S487" s="26"/>
      <x:c r="T487" s="26"/>
      <x:c r="U487" s="26"/>
      <x:c r="V487" s="26"/>
      <x:c r="W487" s="26"/>
      <x:c r="X487" s="26"/>
      <x:c r="Y487" s="26"/>
      <x:c r="Z487" s="26"/>
    </x:row>
    <x:row r="488">
      <x:c r="A488" s="26"/>
      <x:c r="B488" s="26"/>
      <x:c r="C488" s="26"/>
      <x:c r="D488" s="26"/>
      <x:c r="E488" s="26"/>
      <x:c r="F488" s="26"/>
      <x:c r="G488" s="26"/>
      <x:c r="H488" s="26"/>
      <x:c r="I488" s="36"/>
      <x:c r="J488" s="26"/>
      <x:c r="K488" s="26"/>
      <x:c r="L488" s="26"/>
      <x:c r="M488" s="26"/>
      <x:c r="N488" s="26"/>
      <x:c r="O488" s="26"/>
      <x:c r="P488" s="26"/>
      <x:c r="Q488" s="26"/>
      <x:c r="R488" s="26"/>
      <x:c r="S488" s="26"/>
      <x:c r="T488" s="26"/>
      <x:c r="U488" s="26"/>
      <x:c r="V488" s="26"/>
      <x:c r="W488" s="26"/>
      <x:c r="X488" s="26"/>
      <x:c r="Y488" s="26"/>
      <x:c r="Z488" s="26"/>
    </x:row>
    <x:row r="489">
      <x:c r="A489" s="26"/>
      <x:c r="B489" s="26"/>
      <x:c r="C489" s="26"/>
      <x:c r="D489" s="26"/>
      <x:c r="E489" s="26"/>
      <x:c r="F489" s="26"/>
      <x:c r="G489" s="26"/>
      <x:c r="H489" s="26"/>
      <x:c r="I489" s="36"/>
      <x:c r="J489" s="26"/>
      <x:c r="K489" s="26"/>
      <x:c r="L489" s="26"/>
      <x:c r="M489" s="26"/>
      <x:c r="N489" s="26"/>
      <x:c r="O489" s="26"/>
      <x:c r="P489" s="26"/>
      <x:c r="Q489" s="26"/>
      <x:c r="R489" s="26"/>
      <x:c r="S489" s="26"/>
      <x:c r="T489" s="26"/>
      <x:c r="U489" s="26"/>
      <x:c r="V489" s="26"/>
      <x:c r="W489" s="26"/>
      <x:c r="X489" s="26"/>
      <x:c r="Y489" s="26"/>
      <x:c r="Z489" s="26"/>
    </x:row>
    <x:row r="490">
      <x:c r="A490" s="26"/>
      <x:c r="B490" s="26"/>
      <x:c r="C490" s="26"/>
      <x:c r="D490" s="26"/>
      <x:c r="E490" s="26"/>
      <x:c r="F490" s="26"/>
      <x:c r="G490" s="26"/>
      <x:c r="H490" s="26"/>
      <x:c r="I490" s="36"/>
      <x:c r="J490" s="26"/>
      <x:c r="K490" s="26"/>
      <x:c r="L490" s="26"/>
      <x:c r="M490" s="26"/>
      <x:c r="N490" s="26"/>
      <x:c r="O490" s="26"/>
      <x:c r="P490" s="26"/>
      <x:c r="Q490" s="26"/>
      <x:c r="R490" s="26"/>
      <x:c r="S490" s="26"/>
      <x:c r="T490" s="26"/>
      <x:c r="U490" s="26"/>
      <x:c r="V490" s="26"/>
      <x:c r="W490" s="26"/>
      <x:c r="X490" s="26"/>
      <x:c r="Y490" s="26"/>
      <x:c r="Z490" s="26"/>
    </x:row>
    <x:row r="491">
      <x:c r="A491" s="26"/>
      <x:c r="B491" s="26"/>
      <x:c r="C491" s="26"/>
      <x:c r="D491" s="26"/>
      <x:c r="E491" s="26"/>
      <x:c r="F491" s="26"/>
      <x:c r="G491" s="26"/>
      <x:c r="H491" s="26"/>
      <x:c r="I491" s="36"/>
      <x:c r="J491" s="26"/>
      <x:c r="K491" s="26"/>
      <x:c r="L491" s="26"/>
      <x:c r="M491" s="26"/>
      <x:c r="N491" s="26"/>
      <x:c r="O491" s="26"/>
      <x:c r="P491" s="26"/>
      <x:c r="Q491" s="26"/>
      <x:c r="R491" s="26"/>
      <x:c r="S491" s="26"/>
      <x:c r="T491" s="26"/>
      <x:c r="U491" s="26"/>
      <x:c r="V491" s="26"/>
      <x:c r="W491" s="26"/>
      <x:c r="X491" s="26"/>
      <x:c r="Y491" s="26"/>
      <x:c r="Z491" s="26"/>
    </x:row>
    <x:row r="492">
      <x:c r="A492" s="26"/>
      <x:c r="B492" s="26"/>
      <x:c r="C492" s="26"/>
      <x:c r="D492" s="26"/>
      <x:c r="E492" s="26"/>
      <x:c r="F492" s="26"/>
      <x:c r="G492" s="26"/>
      <x:c r="H492" s="26"/>
      <x:c r="I492" s="36"/>
      <x:c r="J492" s="26"/>
      <x:c r="K492" s="26"/>
      <x:c r="L492" s="26"/>
      <x:c r="M492" s="26"/>
      <x:c r="N492" s="26"/>
      <x:c r="O492" s="26"/>
      <x:c r="P492" s="26"/>
      <x:c r="Q492" s="26"/>
      <x:c r="R492" s="26"/>
      <x:c r="S492" s="26"/>
      <x:c r="T492" s="26"/>
      <x:c r="U492" s="26"/>
      <x:c r="V492" s="26"/>
      <x:c r="W492" s="26"/>
      <x:c r="X492" s="26"/>
      <x:c r="Y492" s="26"/>
      <x:c r="Z492" s="26"/>
    </x:row>
    <x:row r="493">
      <x:c r="A493" s="26"/>
      <x:c r="B493" s="26"/>
      <x:c r="C493" s="26"/>
      <x:c r="D493" s="26"/>
      <x:c r="E493" s="26"/>
      <x:c r="F493" s="26"/>
      <x:c r="G493" s="26"/>
      <x:c r="H493" s="26"/>
      <x:c r="I493" s="36"/>
      <x:c r="J493" s="26"/>
      <x:c r="K493" s="26"/>
      <x:c r="L493" s="26"/>
      <x:c r="M493" s="26"/>
      <x:c r="N493" s="26"/>
      <x:c r="O493" s="26"/>
      <x:c r="P493" s="26"/>
      <x:c r="Q493" s="26"/>
      <x:c r="R493" s="26"/>
      <x:c r="S493" s="26"/>
      <x:c r="T493" s="26"/>
      <x:c r="U493" s="26"/>
      <x:c r="V493" s="26"/>
      <x:c r="W493" s="26"/>
      <x:c r="X493" s="26"/>
      <x:c r="Y493" s="26"/>
      <x:c r="Z493" s="26"/>
    </x:row>
    <x:row r="494">
      <x:c r="A494" s="26"/>
      <x:c r="B494" s="26"/>
      <x:c r="C494" s="26"/>
      <x:c r="D494" s="26"/>
      <x:c r="E494" s="26"/>
      <x:c r="F494" s="26"/>
      <x:c r="G494" s="26"/>
      <x:c r="H494" s="26"/>
      <x:c r="I494" s="36"/>
      <x:c r="J494" s="26"/>
      <x:c r="K494" s="26"/>
      <x:c r="L494" s="26"/>
      <x:c r="M494" s="26"/>
      <x:c r="N494" s="26"/>
      <x:c r="O494" s="26"/>
      <x:c r="P494" s="26"/>
      <x:c r="Q494" s="26"/>
      <x:c r="R494" s="26"/>
      <x:c r="S494" s="26"/>
      <x:c r="T494" s="26"/>
      <x:c r="U494" s="26"/>
      <x:c r="V494" s="26"/>
      <x:c r="W494" s="26"/>
      <x:c r="X494" s="26"/>
      <x:c r="Y494" s="26"/>
      <x:c r="Z494" s="26"/>
    </x:row>
    <x:row r="495">
      <x:c r="A495" s="26"/>
      <x:c r="B495" s="26"/>
      <x:c r="C495" s="26"/>
      <x:c r="D495" s="26"/>
      <x:c r="E495" s="26"/>
      <x:c r="F495" s="26"/>
      <x:c r="G495" s="26"/>
      <x:c r="H495" s="26"/>
      <x:c r="I495" s="36"/>
      <x:c r="J495" s="26"/>
      <x:c r="K495" s="26"/>
      <x:c r="L495" s="26"/>
      <x:c r="M495" s="26"/>
      <x:c r="N495" s="26"/>
      <x:c r="O495" s="26"/>
      <x:c r="P495" s="26"/>
      <x:c r="Q495" s="26"/>
      <x:c r="R495" s="26"/>
      <x:c r="S495" s="26"/>
      <x:c r="T495" s="26"/>
      <x:c r="U495" s="26"/>
      <x:c r="V495" s="26"/>
      <x:c r="W495" s="26"/>
      <x:c r="X495" s="26"/>
      <x:c r="Y495" s="26"/>
      <x:c r="Z495" s="26"/>
    </x:row>
    <x:row r="496">
      <x:c r="A496" s="26"/>
      <x:c r="B496" s="26"/>
      <x:c r="C496" s="26"/>
      <x:c r="D496" s="26"/>
      <x:c r="E496" s="26"/>
      <x:c r="F496" s="26"/>
      <x:c r="G496" s="26"/>
      <x:c r="H496" s="26"/>
      <x:c r="I496" s="36"/>
      <x:c r="J496" s="26"/>
      <x:c r="K496" s="26"/>
      <x:c r="L496" s="26"/>
      <x:c r="M496" s="26"/>
      <x:c r="N496" s="26"/>
      <x:c r="O496" s="26"/>
      <x:c r="P496" s="26"/>
      <x:c r="Q496" s="26"/>
      <x:c r="R496" s="26"/>
      <x:c r="S496" s="26"/>
      <x:c r="T496" s="26"/>
      <x:c r="U496" s="26"/>
      <x:c r="V496" s="26"/>
      <x:c r="W496" s="26"/>
      <x:c r="X496" s="26"/>
      <x:c r="Y496" s="26"/>
      <x:c r="Z496" s="26"/>
    </x:row>
    <x:row r="497">
      <x:c r="A497" s="26"/>
      <x:c r="B497" s="26"/>
      <x:c r="C497" s="26"/>
      <x:c r="D497" s="26"/>
      <x:c r="E497" s="26"/>
      <x:c r="F497" s="26"/>
      <x:c r="G497" s="26"/>
      <x:c r="H497" s="26"/>
      <x:c r="I497" s="36"/>
      <x:c r="J497" s="26"/>
      <x:c r="K497" s="26"/>
      <x:c r="L497" s="26"/>
      <x:c r="M497" s="26"/>
      <x:c r="N497" s="26"/>
      <x:c r="O497" s="26"/>
      <x:c r="P497" s="26"/>
      <x:c r="Q497" s="26"/>
      <x:c r="R497" s="26"/>
      <x:c r="S497" s="26"/>
      <x:c r="T497" s="26"/>
      <x:c r="U497" s="26"/>
      <x:c r="V497" s="26"/>
      <x:c r="W497" s="26"/>
      <x:c r="X497" s="26"/>
      <x:c r="Y497" s="26"/>
      <x:c r="Z497" s="26"/>
    </x:row>
    <x:row r="498">
      <x:c r="A498" s="26"/>
      <x:c r="B498" s="26"/>
      <x:c r="C498" s="26"/>
      <x:c r="D498" s="26"/>
      <x:c r="E498" s="26"/>
      <x:c r="F498" s="26"/>
      <x:c r="G498" s="26"/>
      <x:c r="H498" s="26"/>
      <x:c r="I498" s="36"/>
      <x:c r="J498" s="26"/>
      <x:c r="K498" s="26"/>
      <x:c r="L498" s="26"/>
      <x:c r="M498" s="26"/>
      <x:c r="N498" s="26"/>
      <x:c r="O498" s="26"/>
      <x:c r="P498" s="26"/>
      <x:c r="Q498" s="26"/>
      <x:c r="R498" s="26"/>
      <x:c r="S498" s="26"/>
      <x:c r="T498" s="26"/>
      <x:c r="U498" s="26"/>
      <x:c r="V498" s="26"/>
      <x:c r="W498" s="26"/>
      <x:c r="X498" s="26"/>
      <x:c r="Y498" s="26"/>
      <x:c r="Z498" s="26"/>
    </x:row>
    <x:row r="499">
      <x:c r="A499" s="26"/>
      <x:c r="B499" s="26"/>
      <x:c r="C499" s="26"/>
      <x:c r="D499" s="26"/>
      <x:c r="E499" s="26"/>
      <x:c r="F499" s="26"/>
      <x:c r="G499" s="26"/>
      <x:c r="H499" s="26"/>
      <x:c r="I499" s="36"/>
      <x:c r="J499" s="26"/>
      <x:c r="K499" s="26"/>
      <x:c r="L499" s="26"/>
      <x:c r="M499" s="26"/>
      <x:c r="N499" s="26"/>
      <x:c r="O499" s="26"/>
      <x:c r="P499" s="26"/>
      <x:c r="Q499" s="26"/>
      <x:c r="R499" s="26"/>
      <x:c r="S499" s="26"/>
      <x:c r="T499" s="26"/>
      <x:c r="U499" s="26"/>
      <x:c r="V499" s="26"/>
      <x:c r="W499" s="26"/>
      <x:c r="X499" s="26"/>
      <x:c r="Y499" s="26"/>
      <x:c r="Z499" s="26"/>
    </x:row>
    <x:row r="500">
      <x:c r="A500" s="26"/>
      <x:c r="B500" s="26"/>
      <x:c r="C500" s="26"/>
      <x:c r="D500" s="26"/>
      <x:c r="E500" s="26"/>
      <x:c r="F500" s="26"/>
      <x:c r="G500" s="26"/>
      <x:c r="H500" s="26"/>
      <x:c r="I500" s="36"/>
      <x:c r="J500" s="26"/>
      <x:c r="K500" s="26"/>
      <x:c r="L500" s="26"/>
      <x:c r="M500" s="26"/>
      <x:c r="N500" s="26"/>
      <x:c r="O500" s="26"/>
      <x:c r="P500" s="26"/>
      <x:c r="Q500" s="26"/>
      <x:c r="R500" s="26"/>
      <x:c r="S500" s="26"/>
      <x:c r="T500" s="26"/>
      <x:c r="U500" s="26"/>
      <x:c r="V500" s="26"/>
      <x:c r="W500" s="26"/>
      <x:c r="X500" s="26"/>
      <x:c r="Y500" s="26"/>
      <x:c r="Z500" s="26"/>
    </x:row>
  </x:sheetData>
  <x:dataValidations count="5">
    <x:dataValidation type="list" sqref="D2:D500">
      <x:formula1>'12_LISTS'!$B$134:$B$136</x:formula1>
    </x:dataValidation>
    <x:dataValidation type="list" sqref="E2:E500">
      <x:formula1>'12_LISTS'!$B$137:$B$141</x:formula1>
    </x:dataValidation>
    <x:dataValidation type="list" sqref="F2:F500">
      <x:formula1>'12_LISTS'!$B$142:$B$146</x:formula1>
    </x:dataValidation>
    <x:dataValidation type="list" sqref="G2:G500">
      <x:formula1>'12_LISTS'!$B$147:$B$150</x:formula1>
    </x:dataValidation>
    <x:dataValidation type="list" sqref="J2:J500">
      <x:formula1>'12_LISTS'!$B$151:$B$155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2b9755b9304a6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30" hidden="0" customWidth="1"/>
    <x:col min="10" max="10" width="55" hidden="0" customWidth="1"/>
  </x:cols>
  <x:sheetData>
    <x:row r="1">
      <x:c r="A1" s="6" t="str">
        <x:v>sheet</x:v>
      </x:c>
      <x:c r="B1" s="6" t="str">
        <x:v>field_key</x:v>
      </x:c>
      <x:c r="C1" s="6" t="str">
        <x:v>description</x:v>
      </x:c>
      <x:c r="D1" s="6" t="str">
        <x:v>data_type</x:v>
      </x:c>
      <x:c r="E1" s="6" t="str">
        <x:v>requirement</x:v>
      </x:c>
      <x:c r="F1" s="6" t="str">
        <x:v>canonical_unit</x:v>
      </x:c>
      <x:c r="G1" s="6" t="str">
        <x:v>scope</x:v>
      </x:c>
      <x:c r="H1" s="6" t="str">
        <x:v>allowed_values_or_rule</x:v>
      </x:c>
      <x:c r="I1" s="6" t="str">
        <x:v>example</x:v>
      </x:c>
      <x:c r="J1" s="6" t="str">
        <x:v>migration_note</x:v>
      </x:c>
    </x:row>
    <x:row r="2">
      <x:c r="A2" s="26" t="str">
        <x:v>01_VEHICLE_MODELS</x:v>
      </x:c>
      <x:c r="B2" s="26" t="str">
        <x:v>model_id</x:v>
      </x:c>
      <x:c r="C2" s="26" t="str">
        <x:v>Immutable Expiya model-family ID.</x:v>
      </x:c>
      <x:c r="D2" s="26" t="str">
        <x:v>ID</x:v>
      </x:c>
      <x:c r="E2" s="26" t="str">
        <x:v>MUST</x:v>
      </x:c>
      <x:c r="F2" s="26"/>
      <x:c r="G2" s="26" t="str">
        <x:v>MODEL</x:v>
      </x:c>
      <x:c r="H2" s="26"/>
      <x:c r="I2" s="26" t="str">
        <x:v>MOD-000001</x:v>
      </x:c>
      <x:c r="J2" s="26" t="str">
        <x:v>Generated; preserve legacy trace separately.</x:v>
      </x:c>
    </x:row>
    <x:row r="3">
      <x:c r="A3" s="26" t="str">
        <x:v>01_VEHICLE_MODELS</x:v>
      </x:c>
      <x:c r="B3" s="26" t="str">
        <x:v>brand</x:v>
      </x:c>
      <x:c r="C3" s="26" t="str">
        <x:v>Manufacturer / brand display name.</x:v>
      </x:c>
      <x:c r="D3" s="26" t="str">
        <x:v>TEXT</x:v>
      </x:c>
      <x:c r="E3" s="26" t="str">
        <x:v>MUST</x:v>
      </x:c>
      <x:c r="F3" s="26"/>
      <x:c r="G3" s="26" t="str">
        <x:v>MODEL</x:v>
      </x:c>
      <x:c r="H3" s="26"/>
      <x:c r="I3" s="26" t="str">
        <x:v>Suzuki</x:v>
      </x:c>
      <x:c r="J3" s="26" t="str">
        <x:v>Map from v0.3 Marka.</x:v>
      </x:c>
    </x:row>
    <x:row r="4">
      <x:c r="A4" s="26" t="str">
        <x:v>01_VEHICLE_MODELS</x:v>
      </x:c>
      <x:c r="B4" s="26" t="str">
        <x:v>model_name</x:v>
      </x:c>
      <x:c r="C4" s="26" t="str">
        <x:v>Commercial model-family name.</x:v>
      </x:c>
      <x:c r="D4" s="26" t="str">
        <x:v>TEXT</x:v>
      </x:c>
      <x:c r="E4" s="26" t="str">
        <x:v>MUST</x:v>
      </x:c>
      <x:c r="F4" s="26"/>
      <x:c r="G4" s="26" t="str">
        <x:v>MODEL</x:v>
      </x:c>
      <x:c r="H4" s="26"/>
      <x:c r="I4" s="26" t="str">
        <x:v>Vitara</x:v>
      </x:c>
      <x:c r="J4" s="26" t="str">
        <x:v>Map from v0.3 Model.</x:v>
      </x:c>
    </x:row>
    <x:row r="5">
      <x:c r="A5" s="26" t="str">
        <x:v>01_VEHICLE_MODELS</x:v>
      </x:c>
      <x:c r="B5" s="26" t="str">
        <x:v>body_family</x:v>
      </x:c>
      <x:c r="C5" s="26" t="str">
        <x:v>Canonical body family.</x:v>
      </x:c>
      <x:c r="D5" s="26" t="str">
        <x:v>ENUM</x:v>
      </x:c>
      <x:c r="E5" s="26" t="str">
        <x:v>MUST</x:v>
      </x:c>
      <x:c r="F5" s="26"/>
      <x:c r="G5" s="26" t="str">
        <x:v>MODEL</x:v>
      </x:c>
      <x:c r="H5" s="26" t="str">
        <x:v>BODY_FAMILY</x:v>
      </x:c>
      <x:c r="I5" s="26" t="str">
        <x:v>SUV</x:v>
      </x:c>
      <x:c r="J5" s="26" t="str">
        <x:v>v0.3 Kasa Tipi is candidate.</x:v>
      </x:c>
    </x:row>
    <x:row r="6">
      <x:c r="A6" s="26" t="str">
        <x:v>01_VEHICLE_MODELS</x:v>
      </x:c>
      <x:c r="B6" s="26" t="str">
        <x:v>market_relevance_tr</x:v>
      </x:c>
      <x:c r="C6" s="26" t="str">
        <x:v>Turkey relevance gate.</x:v>
      </x:c>
      <x:c r="D6" s="26" t="str">
        <x:v>ENUM</x:v>
      </x:c>
      <x:c r="E6" s="26" t="str">
        <x:v>MUST</x:v>
      </x:c>
      <x:c r="F6" s="26"/>
      <x:c r="G6" s="26" t="str">
        <x:v>MODEL</x:v>
      </x:c>
      <x:c r="H6" s="26" t="str">
        <x:v>MARKET_RELEVANCE_TR</x:v>
      </x:c>
      <x:c r="I6" s="26" t="str">
        <x:v>CURRENT</x:v>
      </x:c>
      <x:c r="J6" s="26" t="str">
        <x:v>Resolve during pilot.</x:v>
      </x:c>
    </x:row>
    <x:row r="7">
      <x:c r="A7" s="26" t="str">
        <x:v>01_VEHICLE_MODELS</x:v>
      </x:c>
      <x:c r="B7" s="26" t="str">
        <x:v>source_catalog_status</x:v>
      </x:c>
      <x:c r="C7" s="26" t="str">
        <x:v>Legacy discovery provenance class.</x:v>
      </x:c>
      <x:c r="D7" s="26" t="str">
        <x:v>ENUM</x:v>
      </x:c>
      <x:c r="E7" s="26" t="str">
        <x:v>MUST</x:v>
      </x:c>
      <x:c r="F7" s="26"/>
      <x:c r="G7" s="26" t="str">
        <x:v>MODEL</x:v>
      </x:c>
      <x:c r="H7" s="26" t="str">
        <x:v>SOURCE_CATALOG_STATUS</x:v>
      </x:c>
      <x:c r="I7" s="26" t="str">
        <x:v>RESMI_KAYNAKTAN_DERLENDI</x:v>
      </x:c>
      <x:c r="J7" s="26" t="str">
        <x:v>Not fact-level authority.</x:v>
      </x:c>
    </x:row>
    <x:row r="8">
      <x:c r="A8" s="26" t="str">
        <x:v>01_VEHICLE_MODELS</x:v>
      </x:c>
      <x:c r="B8" s="26" t="str">
        <x:v>legacy_source_id</x:v>
      </x:c>
      <x:c r="C8" s="26" t="str">
        <x:v>Reference to v0.3 record identity.</x:v>
      </x:c>
      <x:c r="D8" s="26" t="str">
        <x:v>TEXT</x:v>
      </x:c>
      <x:c r="E8" s="26" t="str">
        <x:v>SHOULD</x:v>
      </x:c>
      <x:c r="F8" s="26"/>
      <x:c r="G8" s="26" t="str">
        <x:v>MODEL</x:v>
      </x:c>
      <x:c r="H8" s="26"/>
      <x:c r="I8" s="26" t="str">
        <x:v>legacy-row-12</x:v>
      </x:c>
      <x:c r="J8" s="26"/>
    </x:row>
    <x:row r="9">
      <x:c r="A9" s="26" t="str">
        <x:v>01_VEHICLE_MODELS</x:v>
      </x:c>
      <x:c r="B9" s="26" t="str">
        <x:v>notes</x:v>
      </x:c>
      <x:c r="C9" s="26" t="str">
        <x:v>Free-text notes, never authoritative evidence.</x:v>
      </x:c>
      <x:c r="D9" s="26" t="str">
        <x:v>TEXT</x:v>
      </x:c>
      <x:c r="E9" s="26" t="str">
        <x:v>NICE_TO_HAVE</x:v>
      </x:c>
      <x:c r="F9" s="26"/>
      <x:c r="G9" s="26" t="str">
        <x:v>MODEL</x:v>
      </x:c>
      <x:c r="H9" s="26"/>
      <x:c r="I9" s="26"/>
      <x:c r="J9" s="26"/>
    </x:row>
    <x:row r="10">
      <x:c r="A10" s="26" t="str">
        <x:v>02_GENERATIONS</x:v>
      </x:c>
      <x:c r="B10" s="26" t="str">
        <x:v>generation_id</x:v>
      </x:c>
      <x:c r="C10" s="26" t="str">
        <x:v>Immutable generation ID.</x:v>
      </x:c>
      <x:c r="D10" s="26" t="str">
        <x:v>ID</x:v>
      </x:c>
      <x:c r="E10" s="26" t="str">
        <x:v>MUST</x:v>
      </x:c>
      <x:c r="F10" s="26"/>
      <x:c r="G10" s="26" t="str">
        <x:v>GENERATION</x:v>
      </x:c>
      <x:c r="H10" s="26"/>
      <x:c r="I10" s="26" t="str">
        <x:v>GEN-000001</x:v>
      </x:c>
      <x:c r="J10" s="26"/>
    </x:row>
    <x:row r="11">
      <x:c r="A11" s="26" t="str">
        <x:v>02_GENERATIONS</x:v>
      </x:c>
      <x:c r="B11" s="26" t="str">
        <x:v>model_id</x:v>
      </x:c>
      <x:c r="C11" s="26" t="str">
        <x:v>FK to model.</x:v>
      </x:c>
      <x:c r="D11" s="26" t="str">
        <x:v>FK</x:v>
      </x:c>
      <x:c r="E11" s="26" t="str">
        <x:v>MUST</x:v>
      </x:c>
      <x:c r="F11" s="26"/>
      <x:c r="G11" s="26" t="str">
        <x:v>GENERATION</x:v>
      </x:c>
      <x:c r="H11" s="26"/>
      <x:c r="I11" s="26" t="str">
        <x:v>MOD-000001</x:v>
      </x:c>
      <x:c r="J11" s="26"/>
    </x:row>
    <x:row r="12">
      <x:c r="A12" s="26" t="str">
        <x:v>02_GENERATIONS</x:v>
      </x:c>
      <x:c r="B12" s="26" t="str">
        <x:v>generation_name</x:v>
      </x:c>
      <x:c r="C12" s="26" t="str">
        <x:v>Human-readable generation label.</x:v>
      </x:c>
      <x:c r="D12" s="26" t="str">
        <x:v>TEXT</x:v>
      </x:c>
      <x:c r="E12" s="26" t="str">
        <x:v>SHOULD</x:v>
      </x:c>
      <x:c r="F12" s="26"/>
      <x:c r="G12" s="26" t="str">
        <x:v>GENERATION</x:v>
      </x:c>
      <x:c r="H12" s="26"/>
      <x:c r="I12" s="26" t="str">
        <x:v>4th Gen</x:v>
      </x:c>
      <x:c r="J12" s="26" t="str">
        <x:v>Do not invent.</x:v>
      </x:c>
    </x:row>
    <x:row r="13">
      <x:c r="A13" s="26" t="str">
        <x:v>02_GENERATIONS</x:v>
      </x:c>
      <x:c r="B13" s="26" t="str">
        <x:v>generation_code</x:v>
      </x:c>
      <x:c r="C13" s="26" t="str">
        <x:v>Manufacturer/platform code.</x:v>
      </x:c>
      <x:c r="D13" s="26" t="str">
        <x:v>TEXT</x:v>
      </x:c>
      <x:c r="E13" s="26" t="str">
        <x:v>NICE_TO_HAVE</x:v>
      </x:c>
      <x:c r="F13" s="26"/>
      <x:c r="G13" s="26" t="str">
        <x:v>GENERATION</x:v>
      </x:c>
      <x:c r="H13" s="26"/>
      <x:c r="I13" s="26" t="str">
        <x:v>LY</x:v>
      </x:c>
      <x:c r="J13" s="26"/>
    </x:row>
    <x:row r="14">
      <x:c r="A14" s="26" t="str">
        <x:v>02_GENERATIONS</x:v>
      </x:c>
      <x:c r="B14" s="26" t="str">
        <x:v>facelift_status</x:v>
      </x:c>
      <x:c r="C14" s="26" t="str">
        <x:v>Generation phase.</x:v>
      </x:c>
      <x:c r="D14" s="26" t="str">
        <x:v>ENUM</x:v>
      </x:c>
      <x:c r="E14" s="26" t="str">
        <x:v>SHOULD</x:v>
      </x:c>
      <x:c r="F14" s="26"/>
      <x:c r="G14" s="26" t="str">
        <x:v>GENERATION</x:v>
      </x:c>
      <x:c r="H14" s="26" t="str">
        <x:v>FACELIFT_STATUS</x:v>
      </x:c>
      <x:c r="I14" s="26" t="str">
        <x:v>FACELIFT</x:v>
      </x:c>
      <x:c r="J14" s="26"/>
    </x:row>
    <x:row r="15">
      <x:c r="A15" s="26" t="str">
        <x:v>02_GENERATIONS</x:v>
      </x:c>
      <x:c r="B15" s="26" t="str">
        <x:v>production_start_year</x:v>
      </x:c>
      <x:c r="C15" s="26" t="str">
        <x:v>Global production start year.</x:v>
      </x:c>
      <x:c r="D15" s="26" t="str">
        <x:v>INTEGER</x:v>
      </x:c>
      <x:c r="E15" s="26" t="str">
        <x:v>SHOULD</x:v>
      </x:c>
      <x:c r="F15" s="26"/>
      <x:c r="G15" s="26" t="str">
        <x:v>GENERATION</x:v>
      </x:c>
      <x:c r="H15" s="26"/>
      <x:c r="I15" s="26" t="str">
        <x:v>2024</x:v>
      </x:c>
      <x:c r="J15" s="26" t="str">
        <x:v>Legacy year is candidate.</x:v>
      </x:c>
    </x:row>
    <x:row r="16">
      <x:c r="A16" s="26" t="str">
        <x:v>02_GENERATIONS</x:v>
      </x:c>
      <x:c r="B16" s="26" t="str">
        <x:v>production_end_year</x:v>
      </x:c>
      <x:c r="C16" s="26" t="str">
        <x:v>Global production end year.</x:v>
      </x:c>
      <x:c r="D16" s="26" t="str">
        <x:v>INTEGER</x:v>
      </x:c>
      <x:c r="E16" s="26" t="str">
        <x:v>SHOULD</x:v>
      </x:c>
      <x:c r="F16" s="26"/>
      <x:c r="G16" s="26" t="str">
        <x:v>GENERATION</x:v>
      </x:c>
      <x:c r="H16" s="26"/>
      <x:c r="I16" s="26"/>
      <x:c r="J16" s="26"/>
    </x:row>
    <x:row r="17">
      <x:c r="A17" s="26" t="str">
        <x:v>02_GENERATIONS</x:v>
      </x:c>
      <x:c r="B17" s="26" t="str">
        <x:v>market_start_year_tr</x:v>
      </x:c>
      <x:c r="C17" s="26" t="str">
        <x:v>Turkey market start year.</x:v>
      </x:c>
      <x:c r="D17" s="26" t="str">
        <x:v>INTEGER</x:v>
      </x:c>
      <x:c r="E17" s="26" t="str">
        <x:v>SHOULD</x:v>
      </x:c>
      <x:c r="F17" s="26"/>
      <x:c r="G17" s="26" t="str">
        <x:v>GENERATION</x:v>
      </x:c>
      <x:c r="H17" s="26"/>
      <x:c r="I17" s="26" t="str">
        <x:v>2025</x:v>
      </x:c>
      <x:c r="J17" s="26"/>
    </x:row>
    <x:row r="18">
      <x:c r="A18" s="26" t="str">
        <x:v>02_GENERATIONS</x:v>
      </x:c>
      <x:c r="B18" s="26" t="str">
        <x:v>market_end_year_tr</x:v>
      </x:c>
      <x:c r="C18" s="26" t="str">
        <x:v>Turkey market end year.</x:v>
      </x:c>
      <x:c r="D18" s="26" t="str">
        <x:v>INTEGER</x:v>
      </x:c>
      <x:c r="E18" s="26" t="str">
        <x:v>SHOULD</x:v>
      </x:c>
      <x:c r="F18" s="26"/>
      <x:c r="G18" s="26" t="str">
        <x:v>GENERATION</x:v>
      </x:c>
      <x:c r="H18" s="26"/>
      <x:c r="I18" s="26"/>
      <x:c r="J18" s="26"/>
    </x:row>
    <x:row r="19">
      <x:c r="A19" s="26" t="str">
        <x:v>02_GENERATIONS</x:v>
      </x:c>
      <x:c r="B19" s="26" t="str">
        <x:v>identity_status</x:v>
      </x:c>
      <x:c r="C19" s="26" t="str">
        <x:v>Identity resolution state.</x:v>
      </x:c>
      <x:c r="D19" s="26" t="str">
        <x:v>ENUM</x:v>
      </x:c>
      <x:c r="E19" s="26" t="str">
        <x:v>MUST</x:v>
      </x:c>
      <x:c r="F19" s="26"/>
      <x:c r="G19" s="26" t="str">
        <x:v>GENERATION</x:v>
      </x:c>
      <x:c r="H19" s="26" t="str">
        <x:v>IDENTITY_STATUS</x:v>
      </x:c>
      <x:c r="I19" s="26" t="str">
        <x:v>VERIFIED</x:v>
      </x:c>
      <x:c r="J19" s="26"/>
    </x:row>
    <x:row r="20">
      <x:c r="A20" s="26" t="str">
        <x:v>02_GENERATIONS</x:v>
      </x:c>
      <x:c r="B20" s="26" t="str">
        <x:v>legacy_source_id</x:v>
      </x:c>
      <x:c r="C20" s="26" t="str">
        <x:v>Legacy traceability.</x:v>
      </x:c>
      <x:c r="D20" s="26" t="str">
        <x:v>TEXT</x:v>
      </x:c>
      <x:c r="E20" s="26" t="str">
        <x:v>SHOULD</x:v>
      </x:c>
      <x:c r="F20" s="26"/>
      <x:c r="G20" s="26" t="str">
        <x:v>GENERATION</x:v>
      </x:c>
      <x:c r="H20" s="26"/>
      <x:c r="I20" s="26"/>
      <x:c r="J20" s="26"/>
    </x:row>
    <x:row r="21">
      <x:c r="A21" s="26" t="str">
        <x:v>02_GENERATIONS</x:v>
      </x:c>
      <x:c r="B21" s="26" t="str">
        <x:v>notes</x:v>
      </x:c>
      <x:c r="C21" s="26" t="str">
        <x:v>Generation notes.</x:v>
      </x:c>
      <x:c r="D21" s="26" t="str">
        <x:v>TEXT</x:v>
      </x:c>
      <x:c r="E21" s="26" t="str">
        <x:v>NICE_TO_HAVE</x:v>
      </x:c>
      <x:c r="F21" s="26"/>
      <x:c r="G21" s="26" t="str">
        <x:v>GENERATION</x:v>
      </x:c>
      <x:c r="H21" s="26"/>
      <x:c r="I21" s="26"/>
      <x:c r="J21" s="26"/>
    </x:row>
    <x:row r="22">
      <x:c r="A22" s="26" t="str">
        <x:v>03_POWERTRAINS</x:v>
      </x:c>
      <x:c r="B22" s="26" t="str">
        <x:v>powertrain_id</x:v>
      </x:c>
      <x:c r="C22" s="26" t="str">
        <x:v>Immutable powertrain variant ID.</x:v>
      </x:c>
      <x:c r="D22" s="26" t="str">
        <x:v>ID</x:v>
      </x:c>
      <x:c r="E22" s="26" t="str">
        <x:v>MUST</x:v>
      </x:c>
      <x:c r="F22" s="26"/>
      <x:c r="G22" s="26" t="str">
        <x:v>POWERTRAIN</x:v>
      </x:c>
      <x:c r="H22" s="26"/>
      <x:c r="I22" s="26" t="str">
        <x:v>PWR-000001</x:v>
      </x:c>
      <x:c r="J22" s="26"/>
    </x:row>
    <x:row r="23">
      <x:c r="A23" s="26" t="str">
        <x:v>03_POWERTRAINS</x:v>
      </x:c>
      <x:c r="B23" s="26" t="str">
        <x:v>generation_id</x:v>
      </x:c>
      <x:c r="C23" s="26" t="str">
        <x:v>FK to generation.</x:v>
      </x:c>
      <x:c r="D23" s="26" t="str">
        <x:v>FK</x:v>
      </x:c>
      <x:c r="E23" s="26" t="str">
        <x:v>MUST</x:v>
      </x:c>
      <x:c r="F23" s="26"/>
      <x:c r="G23" s="26" t="str">
        <x:v>POWERTRAIN</x:v>
      </x:c>
      <x:c r="H23" s="26"/>
      <x:c r="I23" s="26" t="str">
        <x:v>GEN-000001</x:v>
      </x:c>
      <x:c r="J23" s="26"/>
    </x:row>
    <x:row r="24">
      <x:c r="A24" s="26" t="str">
        <x:v>03_POWERTRAINS</x:v>
      </x:c>
      <x:c r="B24" s="26" t="str">
        <x:v>marketing_name</x:v>
      </x:c>
      <x:c r="C24" s="26" t="str">
        <x:v>Official/marketed powertrain name.</x:v>
      </x:c>
      <x:c r="D24" s="26" t="str">
        <x:v>TEXT</x:v>
      </x:c>
      <x:c r="E24" s="26" t="str">
        <x:v>SHOULD</x:v>
      </x:c>
      <x:c r="F24" s="26"/>
      <x:c r="G24" s="26" t="str">
        <x:v>POWERTRAIN</x:v>
      </x:c>
      <x:c r="H24" s="26"/>
      <x:c r="I24" s="26" t="str">
        <x:v>1.4 Boosterjet Hybrid</x:v>
      </x:c>
      <x:c r="J24" s="26"/>
    </x:row>
    <x:row r="25">
      <x:c r="A25" s="26" t="str">
        <x:v>03_POWERTRAINS</x:v>
      </x:c>
      <x:c r="B25" s="26" t="str">
        <x:v>fuel_type</x:v>
      </x:c>
      <x:c r="C25" s="26" t="str">
        <x:v>Primary fuel/energy type.</x:v>
      </x:c>
      <x:c r="D25" s="26" t="str">
        <x:v>ENUM</x:v>
      </x:c>
      <x:c r="E25" s="26" t="str">
        <x:v>MUST</x:v>
      </x:c>
      <x:c r="F25" s="26"/>
      <x:c r="G25" s="26" t="str">
        <x:v>POWERTRAIN</x:v>
      </x:c>
      <x:c r="H25" s="26" t="str">
        <x:v>FUEL_TYPE</x:v>
      </x:c>
      <x:c r="I25" s="26" t="str">
        <x:v>PETROL</x:v>
      </x:c>
      <x:c r="J25" s="26"/>
    </x:row>
    <x:row r="26">
      <x:c r="A26" s="26" t="str">
        <x:v>03_POWERTRAINS</x:v>
      </x:c>
      <x:c r="B26" s="26" t="str">
        <x:v>electrification_type</x:v>
      </x:c>
      <x:c r="C26" s="26" t="str">
        <x:v>Electrification architecture.</x:v>
      </x:c>
      <x:c r="D26" s="26" t="str">
        <x:v>ENUM</x:v>
      </x:c>
      <x:c r="E26" s="26" t="str">
        <x:v>MUST</x:v>
      </x:c>
      <x:c r="F26" s="26"/>
      <x:c r="G26" s="26" t="str">
        <x:v>POWERTRAIN</x:v>
      </x:c>
      <x:c r="H26" s="26" t="str">
        <x:v>ELECTRIFICATION_TYPE</x:v>
      </x:c>
      <x:c r="I26" s="26" t="str">
        <x:v>MHEV</x:v>
      </x:c>
      <x:c r="J26" s="26"/>
    </x:row>
    <x:row r="27">
      <x:c r="A27" s="26" t="str">
        <x:v>03_POWERTRAINS</x:v>
      </x:c>
      <x:c r="B27" s="26" t="str">
        <x:v>engine_displacement_cc</x:v>
      </x:c>
      <x:c r="C27" s="26" t="str">
        <x:v>ICE displacement.</x:v>
      </x:c>
      <x:c r="D27" s="26" t="str">
        <x:v>INTEGER</x:v>
      </x:c>
      <x:c r="E27" s="26" t="str">
        <x:v>SHOULD</x:v>
      </x:c>
      <x:c r="F27" s="26" t="str">
        <x:v>cc</x:v>
      </x:c>
      <x:c r="G27" s="26" t="str">
        <x:v>POWERTRAIN</x:v>
      </x:c>
      <x:c r="H27" s="26"/>
      <x:c r="I27" s="26" t="str">
        <x:v>1373</x:v>
      </x:c>
      <x:c r="J27" s="26"/>
    </x:row>
    <x:row r="28">
      <x:c r="A28" s="26" t="str">
        <x:v>03_POWERTRAINS</x:v>
      </x:c>
      <x:c r="B28" s="26" t="str">
        <x:v>power_kw</x:v>
      </x:c>
      <x:c r="C28" s="26" t="str">
        <x:v>Canonical power.</x:v>
      </x:c>
      <x:c r="D28" s="26" t="str">
        <x:v>NUMBER</x:v>
      </x:c>
      <x:c r="E28" s="26" t="str">
        <x:v>MUST</x:v>
      </x:c>
      <x:c r="F28" s="26" t="str">
        <x:v>kW</x:v>
      </x:c>
      <x:c r="G28" s="26" t="str">
        <x:v>POWERTRAIN</x:v>
      </x:c>
      <x:c r="H28" s="26"/>
      <x:c r="I28" s="26" t="str">
        <x:v>95</x:v>
      </x:c>
      <x:c r="J28" s="26" t="str">
        <x:v>Source-backed before VERIFIED.</x:v>
      </x:c>
    </x:row>
    <x:row r="29">
      <x:c r="A29" s="26" t="str">
        <x:v>03_POWERTRAINS</x:v>
      </x:c>
      <x:c r="B29" s="26" t="str">
        <x:v>power_ps</x:v>
      </x:c>
      <x:c r="C29" s="26" t="str">
        <x:v>Reference/display metric power.</x:v>
      </x:c>
      <x:c r="D29" s="26" t="str">
        <x:v>NUMBER</x:v>
      </x:c>
      <x:c r="E29" s="26" t="str">
        <x:v>SHOULD</x:v>
      </x:c>
      <x:c r="F29" s="26" t="str">
        <x:v>PS</x:v>
      </x:c>
      <x:c r="G29" s="26" t="str">
        <x:v>POWERTRAIN</x:v>
      </x:c>
      <x:c r="H29" s="26"/>
      <x:c r="I29" s="26" t="str">
        <x:v>129</x:v>
      </x:c>
      <x:c r="J29" s="26"/>
    </x:row>
    <x:row r="30">
      <x:c r="A30" s="26" t="str">
        <x:v>03_POWERTRAINS</x:v>
      </x:c>
      <x:c r="B30" s="26" t="str">
        <x:v>torque_nm</x:v>
      </x:c>
      <x:c r="C30" s="26" t="str">
        <x:v>Peak torque.</x:v>
      </x:c>
      <x:c r="D30" s="26" t="str">
        <x:v>NUMBER</x:v>
      </x:c>
      <x:c r="E30" s="26" t="str">
        <x:v>SHOULD</x:v>
      </x:c>
      <x:c r="F30" s="26" t="str">
        <x:v>Nm</x:v>
      </x:c>
      <x:c r="G30" s="26" t="str">
        <x:v>POWERTRAIN</x:v>
      </x:c>
      <x:c r="H30" s="26"/>
      <x:c r="I30" s="26" t="str">
        <x:v>235</x:v>
      </x:c>
      <x:c r="J30" s="26"/>
    </x:row>
    <x:row r="31">
      <x:c r="A31" s="26" t="str">
        <x:v>03_POWERTRAINS</x:v>
      </x:c>
      <x:c r="B31" s="26" t="str">
        <x:v>transmission_type</x:v>
      </x:c>
      <x:c r="C31" s="26" t="str">
        <x:v>Transmission architecture.</x:v>
      </x:c>
      <x:c r="D31" s="26" t="str">
        <x:v>ENUM</x:v>
      </x:c>
      <x:c r="E31" s="26" t="str">
        <x:v>MUST</x:v>
      </x:c>
      <x:c r="F31" s="26"/>
      <x:c r="G31" s="26" t="str">
        <x:v>POWERTRAIN</x:v>
      </x:c>
      <x:c r="H31" s="26" t="str">
        <x:v>TRANSMISSION_TYPE</x:v>
      </x:c>
      <x:c r="I31" s="26" t="str">
        <x:v>AUTOMATIC</x:v>
      </x:c>
      <x:c r="J31" s="26"/>
    </x:row>
    <x:row r="32">
      <x:c r="A32" s="26" t="str">
        <x:v>03_POWERTRAINS</x:v>
      </x:c>
      <x:c r="B32" s="26" t="str">
        <x:v>transmission_gears</x:v>
      </x:c>
      <x:c r="C32" s="26" t="str">
        <x:v>Forward gear count.</x:v>
      </x:c>
      <x:c r="D32" s="26" t="str">
        <x:v>INTEGER</x:v>
      </x:c>
      <x:c r="E32" s="26" t="str">
        <x:v>SHOULD</x:v>
      </x:c>
      <x:c r="F32" s="26"/>
      <x:c r="G32" s="26" t="str">
        <x:v>POWERTRAIN</x:v>
      </x:c>
      <x:c r="H32" s="26"/>
      <x:c r="I32" s="26" t="str">
        <x:v>6</x:v>
      </x:c>
      <x:c r="J32" s="26"/>
    </x:row>
    <x:row r="33">
      <x:c r="A33" s="26" t="str">
        <x:v>03_POWERTRAINS</x:v>
      </x:c>
      <x:c r="B33" s="26" t="str">
        <x:v>drivetrain</x:v>
      </x:c>
      <x:c r="C33" s="26" t="str">
        <x:v>Driven axle/system.</x:v>
      </x:c>
      <x:c r="D33" s="26" t="str">
        <x:v>ENUM</x:v>
      </x:c>
      <x:c r="E33" s="26" t="str">
        <x:v>MUST</x:v>
      </x:c>
      <x:c r="F33" s="26"/>
      <x:c r="G33" s="26" t="str">
        <x:v>POWERTRAIN</x:v>
      </x:c>
      <x:c r="H33" s="26" t="str">
        <x:v>DRIVETRAIN</x:v>
      </x:c>
      <x:c r="I33" s="26" t="str">
        <x:v>AWD</x:v>
      </x:c>
      <x:c r="J33" s="26"/>
    </x:row>
    <x:row r="34">
      <x:c r="A34" s="26" t="str">
        <x:v>03_POWERTRAINS</x:v>
      </x:c>
      <x:c r="B34" s="26" t="str">
        <x:v>battery_usable_kwh</x:v>
      </x:c>
      <x:c r="C34" s="26" t="str">
        <x:v>Usable traction battery capacity.</x:v>
      </x:c>
      <x:c r="D34" s="26" t="str">
        <x:v>NUMBER</x:v>
      </x:c>
      <x:c r="E34" s="26" t="str">
        <x:v>MUST</x:v>
      </x:c>
      <x:c r="F34" s="26" t="str">
        <x:v>kWh</x:v>
      </x:c>
      <x:c r="G34" s="26" t="str">
        <x:v>POWERTRAIN</x:v>
      </x:c>
      <x:c r="H34" s="26"/>
      <x:c r="I34" s="26"/>
      <x:c r="J34" s="26" t="str">
        <x:v>MUST for BEV when published.</x:v>
      </x:c>
    </x:row>
    <x:row r="35">
      <x:c r="A35" s="26" t="str">
        <x:v>03_POWERTRAINS</x:v>
      </x:c>
      <x:c r="B35" s="26" t="str">
        <x:v>identity_status</x:v>
      </x:c>
      <x:c r="C35" s="26" t="str">
        <x:v>Identity resolution state.</x:v>
      </x:c>
      <x:c r="D35" s="26" t="str">
        <x:v>ENUM</x:v>
      </x:c>
      <x:c r="E35" s="26" t="str">
        <x:v>MUST</x:v>
      </x:c>
      <x:c r="F35" s="26"/>
      <x:c r="G35" s="26" t="str">
        <x:v>POWERTRAIN</x:v>
      </x:c>
      <x:c r="H35" s="26" t="str">
        <x:v>IDENTITY_STATUS</x:v>
      </x:c>
      <x:c r="I35" s="26" t="str">
        <x:v>VERIFIED</x:v>
      </x:c>
      <x:c r="J35" s="26"/>
    </x:row>
    <x:row r="36">
      <x:c r="A36" s="26" t="str">
        <x:v>03_POWERTRAINS</x:v>
      </x:c>
      <x:c r="B36" s="26" t="str">
        <x:v>legacy_motor_text</x:v>
      </x:c>
      <x:c r="C36" s="26" t="str">
        <x:v>Raw v0.3 Motor text.</x:v>
      </x:c>
      <x:c r="D36" s="26" t="str">
        <x:v>TEXT</x:v>
      </x:c>
      <x:c r="E36" s="26" t="str">
        <x:v>SHOULD</x:v>
      </x:c>
      <x:c r="F36" s="26"/>
      <x:c r="G36" s="26" t="str">
        <x:v>POWERTRAIN</x:v>
      </x:c>
      <x:c r="H36" s="26"/>
      <x:c r="I36" s="26" t="str">
        <x:v>1.4 Hybrid 129 PS</x:v>
      </x:c>
      <x:c r="J36" s="26" t="str">
        <x:v>Parsing input only.</x:v>
      </x:c>
    </x:row>
    <x:row r="37">
      <x:c r="A37" s="26" t="str">
        <x:v>03_POWERTRAINS</x:v>
      </x:c>
      <x:c r="B37" s="26" t="str">
        <x:v>notes</x:v>
      </x:c>
      <x:c r="C37" s="26" t="str">
        <x:v>Powertrain notes.</x:v>
      </x:c>
      <x:c r="D37" s="26" t="str">
        <x:v>TEXT</x:v>
      </x:c>
      <x:c r="E37" s="26" t="str">
        <x:v>NICE_TO_HAVE</x:v>
      </x:c>
      <x:c r="F37" s="26"/>
      <x:c r="G37" s="26" t="str">
        <x:v>POWERTRAIN</x:v>
      </x:c>
      <x:c r="H37" s="26"/>
      <x:c r="I37" s="26"/>
      <x:c r="J37" s="26"/>
    </x:row>
    <x:row r="38">
      <x:c r="A38" s="26" t="str">
        <x:v>04_CONFIGURATIONS</x:v>
      </x:c>
      <x:c r="B38" s="26" t="str">
        <x:v>configuration_id</x:v>
      </x:c>
      <x:c r="C38" s="26" t="str">
        <x:v>Immutable market configuration ID.</x:v>
      </x:c>
      <x:c r="D38" s="26" t="str">
        <x:v>ID</x:v>
      </x:c>
      <x:c r="E38" s="26" t="str">
        <x:v>MUST</x:v>
      </x:c>
      <x:c r="F38" s="26"/>
      <x:c r="G38" s="26" t="str">
        <x:v>CONFIGURATION</x:v>
      </x:c>
      <x:c r="H38" s="26"/>
      <x:c r="I38" s="26" t="str">
        <x:v>CFG-000001</x:v>
      </x:c>
      <x:c r="J38" s="26"/>
    </x:row>
    <x:row r="39">
      <x:c r="A39" s="26" t="str">
        <x:v>04_CONFIGURATIONS</x:v>
      </x:c>
      <x:c r="B39" s="26" t="str">
        <x:v>generation_id</x:v>
      </x:c>
      <x:c r="C39" s="26" t="str">
        <x:v>FK to generation.</x:v>
      </x:c>
      <x:c r="D39" s="26" t="str">
        <x:v>FK</x:v>
      </x:c>
      <x:c r="E39" s="26" t="str">
        <x:v>MUST</x:v>
      </x:c>
      <x:c r="F39" s="26"/>
      <x:c r="G39" s="26" t="str">
        <x:v>CONFIGURATION</x:v>
      </x:c>
      <x:c r="H39" s="26"/>
      <x:c r="I39" s="26" t="str">
        <x:v>GEN-000001</x:v>
      </x:c>
      <x:c r="J39" s="26"/>
    </x:row>
    <x:row r="40">
      <x:c r="A40" s="26" t="str">
        <x:v>04_CONFIGURATIONS</x:v>
      </x:c>
      <x:c r="B40" s="26" t="str">
        <x:v>powertrain_id</x:v>
      </x:c>
      <x:c r="C40" s="26" t="str">
        <x:v>FK to powertrain.</x:v>
      </x:c>
      <x:c r="D40" s="26" t="str">
        <x:v>FK</x:v>
      </x:c>
      <x:c r="E40" s="26" t="str">
        <x:v>MUST</x:v>
      </x:c>
      <x:c r="F40" s="26"/>
      <x:c r="G40" s="26" t="str">
        <x:v>CONFIGURATION</x:v>
      </x:c>
      <x:c r="H40" s="26"/>
      <x:c r="I40" s="26" t="str">
        <x:v>PWR-000001</x:v>
      </x:c>
      <x:c r="J40" s="26"/>
    </x:row>
    <x:row r="41">
      <x:c r="A41" s="26" t="str">
        <x:v>04_CONFIGURATIONS</x:v>
      </x:c>
      <x:c r="B41" s="26" t="str">
        <x:v>market</x:v>
      </x:c>
      <x:c r="C41" s="26" t="str">
        <x:v>Commercial market.</x:v>
      </x:c>
      <x:c r="D41" s="26" t="str">
        <x:v>ENUM</x:v>
      </x:c>
      <x:c r="E41" s="26" t="str">
        <x:v>MUST</x:v>
      </x:c>
      <x:c r="F41" s="26"/>
      <x:c r="G41" s="26" t="str">
        <x:v>CONFIGURATION</x:v>
      </x:c>
      <x:c r="H41" s="26" t="str">
        <x:v>MARKET</x:v>
      </x:c>
      <x:c r="I41" s="26" t="str">
        <x:v>TR</x:v>
      </x:c>
      <x:c r="J41" s="26"/>
    </x:row>
    <x:row r="42">
      <x:c r="A42" s="26" t="str">
        <x:v>04_CONFIGURATIONS</x:v>
      </x:c>
      <x:c r="B42" s="26" t="str">
        <x:v>model_year</x:v>
      </x:c>
      <x:c r="C42" s="26" t="str">
        <x:v>Applicable model year.</x:v>
      </x:c>
      <x:c r="D42" s="26" t="str">
        <x:v>INTEGER</x:v>
      </x:c>
      <x:c r="E42" s="26" t="str">
        <x:v>MUST</x:v>
      </x:c>
      <x:c r="F42" s="26"/>
      <x:c r="G42" s="26" t="str">
        <x:v>CONFIGURATION</x:v>
      </x:c>
      <x:c r="H42" s="26"/>
      <x:c r="I42" s="26" t="str">
        <x:v>2026</x:v>
      </x:c>
      <x:c r="J42" s="26"/>
    </x:row>
    <x:row r="43">
      <x:c r="A43" s="26" t="str">
        <x:v>04_CONFIGURATIONS</x:v>
      </x:c>
      <x:c r="B43" s="26" t="str">
        <x:v>trim_name</x:v>
      </x:c>
      <x:c r="C43" s="26" t="str">
        <x:v>Canonical trim/equipment grade.</x:v>
      </x:c>
      <x:c r="D43" s="26" t="str">
        <x:v>TEXT</x:v>
      </x:c>
      <x:c r="E43" s="26" t="str">
        <x:v>MUST</x:v>
      </x:c>
      <x:c r="F43" s="26"/>
      <x:c r="G43" s="26" t="str">
        <x:v>CONFIGURATION</x:v>
      </x:c>
      <x:c r="H43" s="26"/>
      <x:c r="I43" s="26" t="str">
        <x:v>GLX</x:v>
      </x:c>
      <x:c r="J43" s="26" t="str">
        <x:v>Legacy Donanım is candidate.</x:v>
      </x:c>
    </x:row>
    <x:row r="44">
      <x:c r="A44" s="26" t="str">
        <x:v>04_CONFIGURATIONS</x:v>
      </x:c>
      <x:c r="B44" s="26" t="str">
        <x:v>official_configuration_name</x:v>
      </x:c>
      <x:c r="C44" s="26" t="str">
        <x:v>Official full configuration label.</x:v>
      </x:c>
      <x:c r="D44" s="26" t="str">
        <x:v>TEXT</x:v>
      </x:c>
      <x:c r="E44" s="26" t="str">
        <x:v>SHOULD</x:v>
      </x:c>
      <x:c r="F44" s="26"/>
      <x:c r="G44" s="26" t="str">
        <x:v>CONFIGURATION</x:v>
      </x:c>
      <x:c r="H44" s="26"/>
      <x:c r="I44" s="26" t="str">
        <x:v>Vitara 1.4 Hybrid 6AT AllGrip GLX</x:v>
      </x:c>
      <x:c r="J44" s="26"/>
    </x:row>
    <x:row r="45">
      <x:c r="A45" s="26" t="str">
        <x:v>04_CONFIGURATIONS</x:v>
      </x:c>
      <x:c r="B45" s="26" t="str">
        <x:v>availability_status</x:v>
      </x:c>
      <x:c r="C45" s="26" t="str">
        <x:v>Market availability state.</x:v>
      </x:c>
      <x:c r="D45" s="26" t="str">
        <x:v>ENUM</x:v>
      </x:c>
      <x:c r="E45" s="26" t="str">
        <x:v>MUST</x:v>
      </x:c>
      <x:c r="F45" s="26"/>
      <x:c r="G45" s="26" t="str">
        <x:v>CONFIGURATION</x:v>
      </x:c>
      <x:c r="H45" s="26" t="str">
        <x:v>AVAILABILITY_STATUS</x:v>
      </x:c>
      <x:c r="I45" s="26" t="str">
        <x:v>CURRENT</x:v>
      </x:c>
      <x:c r="J45" s="26"/>
    </x:row>
    <x:row r="46">
      <x:c r="A46" s="26" t="str">
        <x:v>04_CONFIGURATIONS</x:v>
      </x:c>
      <x:c r="B46" s="26" t="str">
        <x:v>availability_from</x:v>
      </x:c>
      <x:c r="C46" s="26" t="str">
        <x:v>Availability date if known.</x:v>
      </x:c>
      <x:c r="D46" s="26" t="str">
        <x:v>DATE</x:v>
      </x:c>
      <x:c r="E46" s="26" t="str">
        <x:v>SHOULD</x:v>
      </x:c>
      <x:c r="F46" s="26"/>
      <x:c r="G46" s="26" t="str">
        <x:v>CONFIGURATION</x:v>
      </x:c>
      <x:c r="H46" s="26"/>
      <x:c r="I46" s="26" t="str">
        <x:v>2026-01-01</x:v>
      </x:c>
      <x:c r="J46" s="26"/>
    </x:row>
    <x:row r="47">
      <x:c r="A47" s="26" t="str">
        <x:v>04_CONFIGURATIONS</x:v>
      </x:c>
      <x:c r="B47" s="26" t="str">
        <x:v>availability_to</x:v>
      </x:c>
      <x:c r="C47" s="26" t="str">
        <x:v>End date if known.</x:v>
      </x:c>
      <x:c r="D47" s="26" t="str">
        <x:v>DATE</x:v>
      </x:c>
      <x:c r="E47" s="26" t="str">
        <x:v>SHOULD</x:v>
      </x:c>
      <x:c r="F47" s="26"/>
      <x:c r="G47" s="26" t="str">
        <x:v>CONFIGURATION</x:v>
      </x:c>
      <x:c r="H47" s="26"/>
      <x:c r="I47" s="26"/>
      <x:c r="J47" s="26"/>
    </x:row>
    <x:row r="48">
      <x:c r="A48" s="26" t="str">
        <x:v>04_CONFIGURATIONS</x:v>
      </x:c>
      <x:c r="B48" s="26" t="str">
        <x:v>configuration_status</x:v>
      </x:c>
      <x:c r="C48" s="26" t="str">
        <x:v>Identity verification state.</x:v>
      </x:c>
      <x:c r="D48" s="26" t="str">
        <x:v>ENUM</x:v>
      </x:c>
      <x:c r="E48" s="26" t="str">
        <x:v>MUST</x:v>
      </x:c>
      <x:c r="F48" s="26"/>
      <x:c r="G48" s="26" t="str">
        <x:v>CONFIGURATION</x:v>
      </x:c>
      <x:c r="H48" s="26" t="str">
        <x:v>CONFIGURATION_STATUS</x:v>
      </x:c>
      <x:c r="I48" s="26" t="str">
        <x:v>VERIFIED</x:v>
      </x:c>
      <x:c r="J48" s="26"/>
    </x:row>
    <x:row r="49">
      <x:c r="A49" s="26" t="str">
        <x:v>04_CONFIGURATIONS</x:v>
      </x:c>
      <x:c r="B49" s="26" t="str">
        <x:v>legacy_trim_text</x:v>
      </x:c>
      <x:c r="C49" s="26" t="str">
        <x:v>Raw v0.3 Donanım.</x:v>
      </x:c>
      <x:c r="D49" s="26" t="str">
        <x:v>TEXT</x:v>
      </x:c>
      <x:c r="E49" s="26" t="str">
        <x:v>SHOULD</x:v>
      </x:c>
      <x:c r="F49" s="26"/>
      <x:c r="G49" s="26" t="str">
        <x:v>CONFIGURATION</x:v>
      </x:c>
      <x:c r="H49" s="26"/>
      <x:c r="I49" s="26" t="str">
        <x:v>GLX</x:v>
      </x:c>
      <x:c r="J49" s="26" t="str">
        <x:v>Candidate only.</x:v>
      </x:c>
    </x:row>
    <x:row r="50">
      <x:c r="A50" s="26" t="str">
        <x:v>04_CONFIGURATIONS</x:v>
      </x:c>
      <x:c r="B50" s="26" t="str">
        <x:v>legacy_source_id</x:v>
      </x:c>
      <x:c r="C50" s="26" t="str">
        <x:v>Legacy traceability.</x:v>
      </x:c>
      <x:c r="D50" s="26" t="str">
        <x:v>TEXT</x:v>
      </x:c>
      <x:c r="E50" s="26" t="str">
        <x:v>SHOULD</x:v>
      </x:c>
      <x:c r="F50" s="26"/>
      <x:c r="G50" s="26" t="str">
        <x:v>CONFIGURATION</x:v>
      </x:c>
      <x:c r="H50" s="26"/>
      <x:c r="I50" s="26"/>
      <x:c r="J50" s="26"/>
    </x:row>
    <x:row r="51">
      <x:c r="A51" s="26" t="str">
        <x:v>04_CONFIGURATIONS</x:v>
      </x:c>
      <x:c r="B51" s="26" t="str">
        <x:v>notes</x:v>
      </x:c>
      <x:c r="C51" s="26" t="str">
        <x:v>Configuration notes.</x:v>
      </x:c>
      <x:c r="D51" s="26" t="str">
        <x:v>TEXT</x:v>
      </x:c>
      <x:c r="E51" s="26" t="str">
        <x:v>NICE_TO_HAVE</x:v>
      </x:c>
      <x:c r="F51" s="26"/>
      <x:c r="G51" s="26" t="str">
        <x:v>CONFIGURATION</x:v>
      </x:c>
      <x:c r="H51" s="26"/>
      <x:c r="I51" s="26"/>
      <x:c r="J51" s="26"/>
    </x:row>
    <x:row r="52">
      <x:c r="A52" s="26" t="str">
        <x:v>05_EVIDENCE_FACTS</x:v>
      </x:c>
      <x:c r="B52" s="26" t="str">
        <x:v>body_type</x:v>
      </x:c>
      <x:c r="C52" s="26" t="str">
        <x:v>Canonical body type</x:v>
      </x:c>
      <x:c r="D52" s="26" t="str">
        <x:v>ENUM</x:v>
      </x:c>
      <x:c r="E52" s="26" t="str">
        <x:v>MUST</x:v>
      </x:c>
      <x:c r="F52" s="26"/>
      <x:c r="G52" s="26" t="str">
        <x:v>GENERATION</x:v>
      </x:c>
      <x:c r="H52" s="26" t="str">
        <x:v>See enum lists where applicable</x:v>
      </x:c>
      <x:c r="I52" s="26"/>
      <x:c r="J52" s="26" t="str">
        <x:v>One atomic fact row; provenance via assertion.</x:v>
      </x:c>
    </x:row>
    <x:row r="53">
      <x:c r="A53" s="26" t="str">
        <x:v>05_EVIDENCE_FACTS</x:v>
      </x:c>
      <x:c r="B53" s="26" t="str">
        <x:v>fuel_type</x:v>
      </x:c>
      <x:c r="C53" s="26" t="str">
        <x:v>Fuel type</x:v>
      </x:c>
      <x:c r="D53" s="26" t="str">
        <x:v>ENUM</x:v>
      </x:c>
      <x:c r="E53" s="26" t="str">
        <x:v>MUST</x:v>
      </x:c>
      <x:c r="F53" s="26"/>
      <x:c r="G53" s="26" t="str">
        <x:v>POWERTRAIN</x:v>
      </x:c>
      <x:c r="H53" s="26" t="str">
        <x:v>See enum lists where applicable</x:v>
      </x:c>
      <x:c r="I53" s="26"/>
      <x:c r="J53" s="26" t="str">
        <x:v>One atomic fact row; provenance via assertion.</x:v>
      </x:c>
    </x:row>
    <x:row r="54">
      <x:c r="A54" s="26" t="str">
        <x:v>05_EVIDENCE_FACTS</x:v>
      </x:c>
      <x:c r="B54" s="26" t="str">
        <x:v>electrification_type</x:v>
      </x:c>
      <x:c r="C54" s="26" t="str">
        <x:v>Electrification architecture</x:v>
      </x:c>
      <x:c r="D54" s="26" t="str">
        <x:v>ENUM</x:v>
      </x:c>
      <x:c r="E54" s="26" t="str">
        <x:v>MUST</x:v>
      </x:c>
      <x:c r="F54" s="26"/>
      <x:c r="G54" s="26" t="str">
        <x:v>POWERTRAIN</x:v>
      </x:c>
      <x:c r="H54" s="26" t="str">
        <x:v>See enum lists where applicable</x:v>
      </x:c>
      <x:c r="I54" s="26"/>
      <x:c r="J54" s="26" t="str">
        <x:v>One atomic fact row; provenance via assertion.</x:v>
      </x:c>
    </x:row>
    <x:row r="55">
      <x:c r="A55" s="26" t="str">
        <x:v>05_EVIDENCE_FACTS</x:v>
      </x:c>
      <x:c r="B55" s="26" t="str">
        <x:v>power_kw</x:v>
      </x:c>
      <x:c r="C55" s="26" t="str">
        <x:v>Power</x:v>
      </x:c>
      <x:c r="D55" s="26" t="str">
        <x:v>NUMBER</x:v>
      </x:c>
      <x:c r="E55" s="26" t="str">
        <x:v>MUST</x:v>
      </x:c>
      <x:c r="F55" s="26" t="str">
        <x:v>kW</x:v>
      </x:c>
      <x:c r="G55" s="26" t="str">
        <x:v>POWERTRAIN</x:v>
      </x:c>
      <x:c r="H55" s="26" t="str">
        <x:v>See enum lists where applicable</x:v>
      </x:c>
      <x:c r="I55" s="26"/>
      <x:c r="J55" s="26" t="str">
        <x:v>One atomic fact row; provenance via assertion.</x:v>
      </x:c>
    </x:row>
    <x:row r="56">
      <x:c r="A56" s="26" t="str">
        <x:v>05_EVIDENCE_FACTS</x:v>
      </x:c>
      <x:c r="B56" s="26" t="str">
        <x:v>transmission_type</x:v>
      </x:c>
      <x:c r="C56" s="26" t="str">
        <x:v>Transmission</x:v>
      </x:c>
      <x:c r="D56" s="26" t="str">
        <x:v>ENUM</x:v>
      </x:c>
      <x:c r="E56" s="26" t="str">
        <x:v>MUST</x:v>
      </x:c>
      <x:c r="F56" s="26"/>
      <x:c r="G56" s="26" t="str">
        <x:v>POWERTRAIN</x:v>
      </x:c>
      <x:c r="H56" s="26" t="str">
        <x:v>See enum lists where applicable</x:v>
      </x:c>
      <x:c r="I56" s="26"/>
      <x:c r="J56" s="26" t="str">
        <x:v>One atomic fact row; provenance via assertion.</x:v>
      </x:c>
    </x:row>
    <x:row r="57">
      <x:c r="A57" s="26" t="str">
        <x:v>05_EVIDENCE_FACTS</x:v>
      </x:c>
      <x:c r="B57" s="26" t="str">
        <x:v>drivetrain</x:v>
      </x:c>
      <x:c r="C57" s="26" t="str">
        <x:v>Drivetrain</x:v>
      </x:c>
      <x:c r="D57" s="26" t="str">
        <x:v>ENUM</x:v>
      </x:c>
      <x:c r="E57" s="26" t="str">
        <x:v>MUST</x:v>
      </x:c>
      <x:c r="F57" s="26"/>
      <x:c r="G57" s="26" t="str">
        <x:v>POWERTRAIN</x:v>
      </x:c>
      <x:c r="H57" s="26" t="str">
        <x:v>See enum lists where applicable</x:v>
      </x:c>
      <x:c r="I57" s="26"/>
      <x:c r="J57" s="26" t="str">
        <x:v>One atomic fact row; provenance via assertion.</x:v>
      </x:c>
    </x:row>
    <x:row r="58">
      <x:c r="A58" s="26" t="str">
        <x:v>05_EVIDENCE_FACTS</x:v>
      </x:c>
      <x:c r="B58" s="26" t="str">
        <x:v>length_mm</x:v>
      </x:c>
      <x:c r="C58" s="26" t="str">
        <x:v>Overall length</x:v>
      </x:c>
      <x:c r="D58" s="26" t="str">
        <x:v>NUMBER</x:v>
      </x:c>
      <x:c r="E58" s="26" t="str">
        <x:v>MUST</x:v>
      </x:c>
      <x:c r="F58" s="26" t="str">
        <x:v>mm</x:v>
      </x:c>
      <x:c r="G58" s="26" t="str">
        <x:v>GENERATION</x:v>
      </x:c>
      <x:c r="H58" s="26" t="str">
        <x:v>See enum lists where applicable</x:v>
      </x:c>
      <x:c r="I58" s="26"/>
      <x:c r="J58" s="26" t="str">
        <x:v>One atomic fact row; provenance via assertion.</x:v>
      </x:c>
    </x:row>
    <x:row r="59">
      <x:c r="A59" s="26" t="str">
        <x:v>05_EVIDENCE_FACTS</x:v>
      </x:c>
      <x:c r="B59" s="26" t="str">
        <x:v>width_mm</x:v>
      </x:c>
      <x:c r="C59" s="26" t="str">
        <x:v>Overall width</x:v>
      </x:c>
      <x:c r="D59" s="26" t="str">
        <x:v>NUMBER</x:v>
      </x:c>
      <x:c r="E59" s="26" t="str">
        <x:v>MUST</x:v>
      </x:c>
      <x:c r="F59" s="26" t="str">
        <x:v>mm</x:v>
      </x:c>
      <x:c r="G59" s="26" t="str">
        <x:v>GENERATION</x:v>
      </x:c>
      <x:c r="H59" s="26" t="str">
        <x:v>See enum lists where applicable</x:v>
      </x:c>
      <x:c r="I59" s="26"/>
      <x:c r="J59" s="26" t="str">
        <x:v>One atomic fact row; provenance via assertion.</x:v>
      </x:c>
    </x:row>
    <x:row r="60">
      <x:c r="A60" s="26" t="str">
        <x:v>05_EVIDENCE_FACTS</x:v>
      </x:c>
      <x:c r="B60" s="26" t="str">
        <x:v>seats</x:v>
      </x:c>
      <x:c r="C60" s="26" t="str">
        <x:v>Seating capacity</x:v>
      </x:c>
      <x:c r="D60" s="26" t="str">
        <x:v>INTEGER</x:v>
      </x:c>
      <x:c r="E60" s="26" t="str">
        <x:v>MUST</x:v>
      </x:c>
      <x:c r="F60" s="26" t="str">
        <x:v>count</x:v>
      </x:c>
      <x:c r="G60" s="26" t="str">
        <x:v>CONFIGURATION</x:v>
      </x:c>
      <x:c r="H60" s="26" t="str">
        <x:v>See enum lists where applicable</x:v>
      </x:c>
      <x:c r="I60" s="26"/>
      <x:c r="J60" s="26" t="str">
        <x:v>One atomic fact row; provenance via assertion.</x:v>
      </x:c>
    </x:row>
    <x:row r="61">
      <x:c r="A61" s="26" t="str">
        <x:v>05_EVIDENCE_FACTS</x:v>
      </x:c>
      <x:c r="B61" s="26" t="str">
        <x:v>cargo_volume_l</x:v>
      </x:c>
      <x:c r="C61" s="26" t="str">
        <x:v>Cargo volume, seats up</x:v>
      </x:c>
      <x:c r="D61" s="26" t="str">
        <x:v>NUMBER</x:v>
      </x:c>
      <x:c r="E61" s="26" t="str">
        <x:v>MUST</x:v>
      </x:c>
      <x:c r="F61" s="26" t="str">
        <x:v>L</x:v>
      </x:c>
      <x:c r="G61" s="26" t="str">
        <x:v>GENERATION</x:v>
      </x:c>
      <x:c r="H61" s="26" t="str">
        <x:v>See enum lists where applicable</x:v>
      </x:c>
      <x:c r="I61" s="26"/>
      <x:c r="J61" s="26" t="str">
        <x:v>One atomic fact row; provenance via assertion.</x:v>
      </x:c>
    </x:row>
    <x:row r="62">
      <x:c r="A62" s="26" t="str">
        <x:v>05_EVIDENCE_FACTS</x:v>
      </x:c>
      <x:c r="B62" s="26" t="str">
        <x:v>ground_clearance_mm</x:v>
      </x:c>
      <x:c r="C62" s="26" t="str">
        <x:v>Ground clearance</x:v>
      </x:c>
      <x:c r="D62" s="26" t="str">
        <x:v>NUMBER</x:v>
      </x:c>
      <x:c r="E62" s="26" t="str">
        <x:v>CONDITIONAL_MUST</x:v>
      </x:c>
      <x:c r="F62" s="26" t="str">
        <x:v>mm</x:v>
      </x:c>
      <x:c r="G62" s="26" t="str">
        <x:v>CONFIGURATION</x:v>
      </x:c>
      <x:c r="H62" s="26" t="str">
        <x:v>MUST when rough-road, camping, stabilized-road, off-road, or clearance constraint is materially relevant; otherwise UNKNOWN is non-blocking.</x:v>
      </x:c>
      <x:c r="I62" s="26"/>
      <x:c r="J62" s="26" t="str">
        <x:v>One atomic fact row; provenance via assertion.</x:v>
      </x:c>
    </x:row>
    <x:row r="63">
      <x:c r="A63" s="26" t="str">
        <x:v>05_EVIDENCE_FACTS</x:v>
      </x:c>
      <x:c r="B63" s="26" t="str">
        <x:v>official_fuel_consumption_combined</x:v>
      </x:c>
      <x:c r="C63" s="26" t="str">
        <x:v>Official combined fuel consumption</x:v>
      </x:c>
      <x:c r="D63" s="26" t="str">
        <x:v>NUMBER</x:v>
      </x:c>
      <x:c r="E63" s="26" t="str">
        <x:v>MUST</x:v>
      </x:c>
      <x:c r="F63" s="26" t="str">
        <x:v>L/100km</x:v>
      </x:c>
      <x:c r="G63" s="26" t="str">
        <x:v>POWERTRAIN</x:v>
      </x:c>
      <x:c r="H63" s="26" t="str">
        <x:v>See enum lists where applicable</x:v>
      </x:c>
      <x:c r="I63" s="26"/>
      <x:c r="J63" s="26" t="str">
        <x:v>One atomic fact row; provenance via assertion.</x:v>
      </x:c>
    </x:row>
    <x:row r="64">
      <x:c r="A64" s="26" t="str">
        <x:v>05_EVIDENCE_FACTS</x:v>
      </x:c>
      <x:c r="B64" s="26" t="str">
        <x:v>official_energy_consumption_combined</x:v>
      </x:c>
      <x:c r="C64" s="26" t="str">
        <x:v>Official combined electric energy consumption</x:v>
      </x:c>
      <x:c r="D64" s="26" t="str">
        <x:v>NUMBER</x:v>
      </x:c>
      <x:c r="E64" s="26" t="str">
        <x:v>MUST</x:v>
      </x:c>
      <x:c r="F64" s="26" t="str">
        <x:v>kWh/100km</x:v>
      </x:c>
      <x:c r="G64" s="26" t="str">
        <x:v>POWERTRAIN</x:v>
      </x:c>
      <x:c r="H64" s="26" t="str">
        <x:v>See enum lists where applicable</x:v>
      </x:c>
      <x:c r="I64" s="26"/>
      <x:c r="J64" s="26" t="str">
        <x:v>One atomic fact row; provenance via assertion.</x:v>
      </x:c>
    </x:row>
    <x:row r="65">
      <x:c r="A65" s="26" t="str">
        <x:v>05_EVIDENCE_FACTS</x:v>
      </x:c>
      <x:c r="B65" s="26" t="str">
        <x:v>official_electric_range</x:v>
      </x:c>
      <x:c r="C65" s="26" t="str">
        <x:v>Official electric range</x:v>
      </x:c>
      <x:c r="D65" s="26" t="str">
        <x:v>NUMBER</x:v>
      </x:c>
      <x:c r="E65" s="26" t="str">
        <x:v>MUST</x:v>
      </x:c>
      <x:c r="F65" s="26" t="str">
        <x:v>km</x:v>
      </x:c>
      <x:c r="G65" s="26" t="str">
        <x:v>POWERTRAIN</x:v>
      </x:c>
      <x:c r="H65" s="26" t="str">
        <x:v>See enum lists where applicable</x:v>
      </x:c>
      <x:c r="I65" s="26"/>
      <x:c r="J65" s="26" t="str">
        <x:v>One atomic fact row; provenance via assertion.</x:v>
      </x:c>
    </x:row>
    <x:row r="66">
      <x:c r="A66" s="26" t="str">
        <x:v>05_EVIDENCE_FACTS</x:v>
      </x:c>
      <x:c r="B66" s="26" t="str">
        <x:v>height_mm</x:v>
      </x:c>
      <x:c r="C66" s="26" t="str">
        <x:v>Overall height</x:v>
      </x:c>
      <x:c r="D66" s="26" t="str">
        <x:v>NUMBER</x:v>
      </x:c>
      <x:c r="E66" s="26" t="str">
        <x:v>SHOULD</x:v>
      </x:c>
      <x:c r="F66" s="26" t="str">
        <x:v>mm</x:v>
      </x:c>
      <x:c r="G66" s="26" t="str">
        <x:v>GENERATION</x:v>
      </x:c>
      <x:c r="H66" s="26" t="str">
        <x:v>See enum lists where applicable</x:v>
      </x:c>
      <x:c r="I66" s="26"/>
      <x:c r="J66" s="26" t="str">
        <x:v>One atomic fact row; provenance via assertion.</x:v>
      </x:c>
    </x:row>
    <x:row r="67">
      <x:c r="A67" s="26" t="str">
        <x:v>05_EVIDENCE_FACTS</x:v>
      </x:c>
      <x:c r="B67" s="26" t="str">
        <x:v>wheelbase_mm</x:v>
      </x:c>
      <x:c r="C67" s="26" t="str">
        <x:v>Wheelbase</x:v>
      </x:c>
      <x:c r="D67" s="26" t="str">
        <x:v>NUMBER</x:v>
      </x:c>
      <x:c r="E67" s="26" t="str">
        <x:v>SHOULD</x:v>
      </x:c>
      <x:c r="F67" s="26" t="str">
        <x:v>mm</x:v>
      </x:c>
      <x:c r="G67" s="26" t="str">
        <x:v>GENERATION</x:v>
      </x:c>
      <x:c r="H67" s="26" t="str">
        <x:v>See enum lists where applicable</x:v>
      </x:c>
      <x:c r="I67" s="26"/>
      <x:c r="J67" s="26" t="str">
        <x:v>One atomic fact row; provenance via assertion.</x:v>
      </x:c>
    </x:row>
    <x:row r="68">
      <x:c r="A68" s="26" t="str">
        <x:v>05_EVIDENCE_FACTS</x:v>
      </x:c>
      <x:c r="B68" s="26" t="str">
        <x:v>engine_displacement_cc</x:v>
      </x:c>
      <x:c r="C68" s="26" t="str">
        <x:v>ICE displacement</x:v>
      </x:c>
      <x:c r="D68" s="26" t="str">
        <x:v>INTEGER</x:v>
      </x:c>
      <x:c r="E68" s="26" t="str">
        <x:v>SHOULD</x:v>
      </x:c>
      <x:c r="F68" s="26" t="str">
        <x:v>cc</x:v>
      </x:c>
      <x:c r="G68" s="26" t="str">
        <x:v>POWERTRAIN</x:v>
      </x:c>
      <x:c r="H68" s="26" t="str">
        <x:v>See enum lists where applicable</x:v>
      </x:c>
      <x:c r="I68" s="26"/>
      <x:c r="J68" s="26" t="str">
        <x:v>One atomic fact row; provenance via assertion.</x:v>
      </x:c>
    </x:row>
    <x:row r="69">
      <x:c r="A69" s="26" t="str">
        <x:v>05_EVIDENCE_FACTS</x:v>
      </x:c>
      <x:c r="B69" s="26" t="str">
        <x:v>torque_nm</x:v>
      </x:c>
      <x:c r="C69" s="26" t="str">
        <x:v>Peak torque</x:v>
      </x:c>
      <x:c r="D69" s="26" t="str">
        <x:v>NUMBER</x:v>
      </x:c>
      <x:c r="E69" s="26" t="str">
        <x:v>SHOULD</x:v>
      </x:c>
      <x:c r="F69" s="26" t="str">
        <x:v>Nm</x:v>
      </x:c>
      <x:c r="G69" s="26" t="str">
        <x:v>POWERTRAIN</x:v>
      </x:c>
      <x:c r="H69" s="26" t="str">
        <x:v>See enum lists where applicable</x:v>
      </x:c>
      <x:c r="I69" s="26"/>
      <x:c r="J69" s="26" t="str">
        <x:v>One atomic fact row; provenance via assertion.</x:v>
      </x:c>
    </x:row>
    <x:row r="70">
      <x:c r="A70" s="26" t="str">
        <x:v>05_EVIDENCE_FACTS</x:v>
      </x:c>
      <x:c r="B70" s="26" t="str">
        <x:v>curb_weight_kg</x:v>
      </x:c>
      <x:c r="C70" s="26" t="str">
        <x:v>Curb/kerb weight</x:v>
      </x:c>
      <x:c r="D70" s="26" t="str">
        <x:v>NUMBER</x:v>
      </x:c>
      <x:c r="E70" s="26" t="str">
        <x:v>SHOULD</x:v>
      </x:c>
      <x:c r="F70" s="26" t="str">
        <x:v>kg</x:v>
      </x:c>
      <x:c r="G70" s="26" t="str">
        <x:v>CONFIGURATION</x:v>
      </x:c>
      <x:c r="H70" s="26" t="str">
        <x:v>See enum lists where applicable</x:v>
      </x:c>
      <x:c r="I70" s="26"/>
      <x:c r="J70" s="26" t="str">
        <x:v>One atomic fact row; provenance via assertion.</x:v>
      </x:c>
    </x:row>
    <x:row r="71">
      <x:c r="A71" s="26" t="str">
        <x:v>05_EVIDENCE_FACTS</x:v>
      </x:c>
      <x:c r="B71" s="26" t="str">
        <x:v>doors</x:v>
      </x:c>
      <x:c r="C71" s="26" t="str">
        <x:v>Door count</x:v>
      </x:c>
      <x:c r="D71" s="26" t="str">
        <x:v>INTEGER</x:v>
      </x:c>
      <x:c r="E71" s="26" t="str">
        <x:v>SHOULD</x:v>
      </x:c>
      <x:c r="F71" s="26" t="str">
        <x:v>count</x:v>
      </x:c>
      <x:c r="G71" s="26" t="str">
        <x:v>GENERATION</x:v>
      </x:c>
      <x:c r="H71" s="26" t="str">
        <x:v>See enum lists where applicable</x:v>
      </x:c>
      <x:c r="I71" s="26"/>
      <x:c r="J71" s="26" t="str">
        <x:v>One atomic fact row; provenance via assertion.</x:v>
      </x:c>
    </x:row>
    <x:row r="72">
      <x:c r="A72" s="26" t="str">
        <x:v>05_EVIDENCE_FACTS</x:v>
      </x:c>
      <x:c r="B72" s="26" t="str">
        <x:v>turning_circle_m</x:v>
      </x:c>
      <x:c r="C72" s="26" t="str">
        <x:v>Turning circle</x:v>
      </x:c>
      <x:c r="D72" s="26" t="str">
        <x:v>NUMBER</x:v>
      </x:c>
      <x:c r="E72" s="26" t="str">
        <x:v>SHOULD</x:v>
      </x:c>
      <x:c r="F72" s="26" t="str">
        <x:v>m</x:v>
      </x:c>
      <x:c r="G72" s="26" t="str">
        <x:v>CONFIGURATION</x:v>
      </x:c>
      <x:c r="H72" s="26" t="str">
        <x:v>See enum lists where applicable</x:v>
      </x:c>
      <x:c r="I72" s="26"/>
      <x:c r="J72" s="26" t="str">
        <x:v>One atomic fact row; provenance via assertion.</x:v>
      </x:c>
    </x:row>
    <x:row r="73">
      <x:c r="A73" s="26" t="str">
        <x:v>05_EVIDENCE_FACTS</x:v>
      </x:c>
      <x:c r="B73" s="26" t="str">
        <x:v>cargo_volume_max_l</x:v>
      </x:c>
      <x:c r="C73" s="26" t="str">
        <x:v>Maximum cargo volume, seats folded</x:v>
      </x:c>
      <x:c r="D73" s="26" t="str">
        <x:v>NUMBER</x:v>
      </x:c>
      <x:c r="E73" s="26" t="str">
        <x:v>SHOULD</x:v>
      </x:c>
      <x:c r="F73" s="26" t="str">
        <x:v>L</x:v>
      </x:c>
      <x:c r="G73" s="26" t="str">
        <x:v>GENERATION</x:v>
      </x:c>
      <x:c r="H73" s="26" t="str">
        <x:v>See enum lists where applicable</x:v>
      </x:c>
      <x:c r="I73" s="26"/>
      <x:c r="J73" s="26" t="str">
        <x:v>One atomic fact row; provenance via assertion.</x:v>
      </x:c>
    </x:row>
    <x:row r="74">
      <x:c r="A74" s="26" t="str">
        <x:v>05_EVIDENCE_FACTS</x:v>
      </x:c>
      <x:c r="B74" s="26" t="str">
        <x:v>fuel_tank_l</x:v>
      </x:c>
      <x:c r="C74" s="26" t="str">
        <x:v>Fuel tank capacity</x:v>
      </x:c>
      <x:c r="D74" s="26" t="str">
        <x:v>NUMBER</x:v>
      </x:c>
      <x:c r="E74" s="26" t="str">
        <x:v>SHOULD</x:v>
      </x:c>
      <x:c r="F74" s="26" t="str">
        <x:v>L</x:v>
      </x:c>
      <x:c r="G74" s="26" t="str">
        <x:v>POWERTRAIN</x:v>
      </x:c>
      <x:c r="H74" s="26" t="str">
        <x:v>See enum lists where applicable</x:v>
      </x:c>
      <x:c r="I74" s="26"/>
      <x:c r="J74" s="26" t="str">
        <x:v>One atomic fact row; provenance via assertion.</x:v>
      </x:c>
    </x:row>
    <x:row r="75">
      <x:c r="A75" s="26" t="str">
        <x:v>05_EVIDENCE_FACTS</x:v>
      </x:c>
      <x:c r="B75" s="26" t="str">
        <x:v>battery_gross_kwh</x:v>
      </x:c>
      <x:c r="C75" s="26" t="str">
        <x:v>Gross traction battery capacity</x:v>
      </x:c>
      <x:c r="D75" s="26" t="str">
        <x:v>NUMBER</x:v>
      </x:c>
      <x:c r="E75" s="26" t="str">
        <x:v>SHOULD</x:v>
      </x:c>
      <x:c r="F75" s="26" t="str">
        <x:v>kWh</x:v>
      </x:c>
      <x:c r="G75" s="26" t="str">
        <x:v>POWERTRAIN</x:v>
      </x:c>
      <x:c r="H75" s="26" t="str">
        <x:v>See enum lists where applicable</x:v>
      </x:c>
      <x:c r="I75" s="26"/>
      <x:c r="J75" s="26" t="str">
        <x:v>One atomic fact row; provenance via assertion.</x:v>
      </x:c>
    </x:row>
    <x:row r="76">
      <x:c r="A76" s="26" t="str">
        <x:v>05_EVIDENCE_FACTS</x:v>
      </x:c>
      <x:c r="B76" s="26" t="str">
        <x:v>battery_usable_kwh</x:v>
      </x:c>
      <x:c r="C76" s="26" t="str">
        <x:v>Usable traction battery capacity</x:v>
      </x:c>
      <x:c r="D76" s="26" t="str">
        <x:v>NUMBER</x:v>
      </x:c>
      <x:c r="E76" s="26" t="str">
        <x:v>SHOULD</x:v>
      </x:c>
      <x:c r="F76" s="26" t="str">
        <x:v>kWh</x:v>
      </x:c>
      <x:c r="G76" s="26" t="str">
        <x:v>POWERTRAIN</x:v>
      </x:c>
      <x:c r="H76" s="26" t="str">
        <x:v>See enum lists where applicable</x:v>
      </x:c>
      <x:c r="I76" s="26"/>
      <x:c r="J76" s="26" t="str">
        <x:v>One atomic fact row; provenance via assertion.</x:v>
      </x:c>
    </x:row>
    <x:row r="77">
      <x:c r="A77" s="26" t="str">
        <x:v>05_EVIDENCE_FACTS</x:v>
      </x:c>
      <x:c r="B77" s="26" t="str">
        <x:v>max_ac_charge_kw</x:v>
      </x:c>
      <x:c r="C77" s="26" t="str">
        <x:v>Maximum AC charge power</x:v>
      </x:c>
      <x:c r="D77" s="26" t="str">
        <x:v>NUMBER</x:v>
      </x:c>
      <x:c r="E77" s="26" t="str">
        <x:v>SHOULD</x:v>
      </x:c>
      <x:c r="F77" s="26" t="str">
        <x:v>kW</x:v>
      </x:c>
      <x:c r="G77" s="26" t="str">
        <x:v>POWERTRAIN</x:v>
      </x:c>
      <x:c r="H77" s="26" t="str">
        <x:v>See enum lists where applicable</x:v>
      </x:c>
      <x:c r="I77" s="26"/>
      <x:c r="J77" s="26" t="str">
        <x:v>One atomic fact row; provenance via assertion.</x:v>
      </x:c>
    </x:row>
    <x:row r="78">
      <x:c r="A78" s="26" t="str">
        <x:v>05_EVIDENCE_FACTS</x:v>
      </x:c>
      <x:c r="B78" s="26" t="str">
        <x:v>max_dc_charge_kw</x:v>
      </x:c>
      <x:c r="C78" s="26" t="str">
        <x:v>Maximum DC charge power</x:v>
      </x:c>
      <x:c r="D78" s="26" t="str">
        <x:v>NUMBER</x:v>
      </x:c>
      <x:c r="E78" s="26" t="str">
        <x:v>SHOULD</x:v>
      </x:c>
      <x:c r="F78" s="26" t="str">
        <x:v>kW</x:v>
      </x:c>
      <x:c r="G78" s="26" t="str">
        <x:v>POWERTRAIN</x:v>
      </x:c>
      <x:c r="H78" s="26" t="str">
        <x:v>See enum lists where applicable</x:v>
      </x:c>
      <x:c r="I78" s="26"/>
      <x:c r="J78" s="26" t="str">
        <x:v>One atomic fact row; provenance via assertion.</x:v>
      </x:c>
    </x:row>
    <x:row r="79">
      <x:c r="A79" s="26" t="str">
        <x:v>05_EVIDENCE_FACTS</x:v>
      </x:c>
      <x:c r="B79" s="26" t="str">
        <x:v>towing_braked_kg</x:v>
      </x:c>
      <x:c r="C79" s="26" t="str">
        <x:v>Braked towing capacity</x:v>
      </x:c>
      <x:c r="D79" s="26" t="str">
        <x:v>NUMBER</x:v>
      </x:c>
      <x:c r="E79" s="26" t="str">
        <x:v>SHOULD</x:v>
      </x:c>
      <x:c r="F79" s="26" t="str">
        <x:v>kg</x:v>
      </x:c>
      <x:c r="G79" s="26" t="str">
        <x:v>CONFIGURATION</x:v>
      </x:c>
      <x:c r="H79" s="26" t="str">
        <x:v>See enum lists where applicable</x:v>
      </x:c>
      <x:c r="I79" s="26"/>
      <x:c r="J79" s="26" t="str">
        <x:v>One atomic fact row; provenance via assertion.</x:v>
      </x:c>
    </x:row>
    <x:row r="80">
      <x:c r="A80" s="26" t="str">
        <x:v>05_EVIDENCE_FACTS</x:v>
      </x:c>
      <x:c r="B80" s="26" t="str">
        <x:v>towing_unbraked_kg</x:v>
      </x:c>
      <x:c r="C80" s="26" t="str">
        <x:v>Unbraked towing capacity</x:v>
      </x:c>
      <x:c r="D80" s="26" t="str">
        <x:v>NUMBER</x:v>
      </x:c>
      <x:c r="E80" s="26" t="str">
        <x:v>SHOULD</x:v>
      </x:c>
      <x:c r="F80" s="26" t="str">
        <x:v>kg</x:v>
      </x:c>
      <x:c r="G80" s="26" t="str">
        <x:v>CONFIGURATION</x:v>
      </x:c>
      <x:c r="H80" s="26" t="str">
        <x:v>See enum lists where applicable</x:v>
      </x:c>
      <x:c r="I80" s="26"/>
      <x:c r="J80" s="26" t="str">
        <x:v>One atomic fact row; provenance via assertion.</x:v>
      </x:c>
    </x:row>
    <x:row r="81">
      <x:c r="A81" s="26" t="str">
        <x:v>05_EVIDENCE_FACTS</x:v>
      </x:c>
      <x:c r="B81" s="26" t="str">
        <x:v>acceleration_0_100</x:v>
      </x:c>
      <x:c r="C81" s="26" t="str">
        <x:v>0–100 km/h acceleration</x:v>
      </x:c>
      <x:c r="D81" s="26" t="str">
        <x:v>NUMBER</x:v>
      </x:c>
      <x:c r="E81" s="26" t="str">
        <x:v>NICE_TO_HAVE</x:v>
      </x:c>
      <x:c r="F81" s="26" t="str">
        <x:v>s</x:v>
      </x:c>
      <x:c r="G81" s="26" t="str">
        <x:v>POWERTRAIN</x:v>
      </x:c>
      <x:c r="H81" s="26" t="str">
        <x:v>See enum lists where applicable</x:v>
      </x:c>
      <x:c r="I81" s="26"/>
      <x:c r="J81" s="26" t="str">
        <x:v>One atomic fact row; provenance via assertion.</x:v>
      </x:c>
    </x:row>
    <x:row r="82">
      <x:c r="A82" s="26" t="str">
        <x:v>05_EVIDENCE_FACTS</x:v>
      </x:c>
      <x:c r="B82" s="26" t="str">
        <x:v>top_speed</x:v>
      </x:c>
      <x:c r="C82" s="26" t="str">
        <x:v>Maximum speed</x:v>
      </x:c>
      <x:c r="D82" s="26" t="str">
        <x:v>NUMBER</x:v>
      </x:c>
      <x:c r="E82" s="26" t="str">
        <x:v>NICE_TO_HAVE</x:v>
      </x:c>
      <x:c r="F82" s="26" t="str">
        <x:v>km/h</x:v>
      </x:c>
      <x:c r="G82" s="26" t="str">
        <x:v>POWERTRAIN</x:v>
      </x:c>
      <x:c r="H82" s="26" t="str">
        <x:v>See enum lists where applicable</x:v>
      </x:c>
      <x:c r="I82" s="26"/>
      <x:c r="J82" s="26" t="str">
        <x:v>One atomic fact row; provenance via assertion.</x:v>
      </x:c>
    </x:row>
    <x:row r="83">
      <x:c r="A83" s="26" t="str">
        <x:v>05_EVIDENCE_FACTS</x:v>
      </x:c>
      <x:c r="B83" s="26" t="str">
        <x:v>approach_angle</x:v>
      </x:c>
      <x:c r="C83" s="26" t="str">
        <x:v>Approach angle</x:v>
      </x:c>
      <x:c r="D83" s="26" t="str">
        <x:v>NUMBER</x:v>
      </x:c>
      <x:c r="E83" s="26" t="str">
        <x:v>NICE_TO_HAVE</x:v>
      </x:c>
      <x:c r="F83" s="26" t="str">
        <x:v>deg</x:v>
      </x:c>
      <x:c r="G83" s="26" t="str">
        <x:v>CONFIGURATION</x:v>
      </x:c>
      <x:c r="H83" s="26" t="str">
        <x:v>See enum lists where applicable</x:v>
      </x:c>
      <x:c r="I83" s="26"/>
      <x:c r="J83" s="26" t="str">
        <x:v>One atomic fact row; provenance via assertion.</x:v>
      </x:c>
    </x:row>
    <x:row r="84">
      <x:c r="A84" s="26" t="str">
        <x:v>05_EVIDENCE_FACTS</x:v>
      </x:c>
      <x:c r="B84" s="26" t="str">
        <x:v>departure_angle</x:v>
      </x:c>
      <x:c r="C84" s="26" t="str">
        <x:v>Departure angle</x:v>
      </x:c>
      <x:c r="D84" s="26" t="str">
        <x:v>NUMBER</x:v>
      </x:c>
      <x:c r="E84" s="26" t="str">
        <x:v>NICE_TO_HAVE</x:v>
      </x:c>
      <x:c r="F84" s="26" t="str">
        <x:v>deg</x:v>
      </x:c>
      <x:c r="G84" s="26" t="str">
        <x:v>CONFIGURATION</x:v>
      </x:c>
      <x:c r="H84" s="26" t="str">
        <x:v>See enum lists where applicable</x:v>
      </x:c>
      <x:c r="I84" s="26"/>
      <x:c r="J84" s="26" t="str">
        <x:v>One atomic fact row; provenance via assertion.</x:v>
      </x:c>
    </x:row>
    <x:row r="85">
      <x:c r="A85" s="26" t="str">
        <x:v>05_EVIDENCE_FACTS</x:v>
      </x:c>
      <x:c r="B85" s="26" t="str">
        <x:v>wading_depth</x:v>
      </x:c>
      <x:c r="C85" s="26" t="str">
        <x:v>Wading depth</x:v>
      </x:c>
      <x:c r="D85" s="26" t="str">
        <x:v>NUMBER</x:v>
      </x:c>
      <x:c r="E85" s="26" t="str">
        <x:v>NICE_TO_HAVE</x:v>
      </x:c>
      <x:c r="F85" s="26" t="str">
        <x:v>mm</x:v>
      </x:c>
      <x:c r="G85" s="26" t="str">
        <x:v>CONFIGURATION</x:v>
      </x:c>
      <x:c r="H85" s="26" t="str">
        <x:v>See enum lists where applicable</x:v>
      </x:c>
      <x:c r="I85" s="26"/>
      <x:c r="J85" s="26" t="str">
        <x:v>One atomic fact row; provenance via assertion.</x:v>
      </x:c>
    </x:row>
    <x:row r="86">
      <x:c r="A86" s="26" t="str">
        <x:v>05_EVIDENCE_FACTS</x:v>
      </x:c>
      <x:c r="B86" s="26" t="str">
        <x:v>roof_load</x:v>
      </x:c>
      <x:c r="C86" s="26" t="str">
        <x:v>Maximum roof load</x:v>
      </x:c>
      <x:c r="D86" s="26" t="str">
        <x:v>NUMBER</x:v>
      </x:c>
      <x:c r="E86" s="26" t="str">
        <x:v>NICE_TO_HAVE</x:v>
      </x:c>
      <x:c r="F86" s="26" t="str">
        <x:v>kg</x:v>
      </x:c>
      <x:c r="G86" s="26" t="str">
        <x:v>CONFIGURATION</x:v>
      </x:c>
      <x:c r="H86" s="26" t="str">
        <x:v>See enum lists where applicable</x:v>
      </x:c>
      <x:c r="I86" s="26"/>
      <x:c r="J86" s="26" t="str">
        <x:v>One atomic fact row; provenance via assertion.</x:v>
      </x:c>
    </x:row>
    <x:row r="87">
      <x:c r="A87" s="26" t="str">
        <x:v>05_EVIDENCE_FACTS</x:v>
      </x:c>
      <x:c r="B87" s="26" t="str">
        <x:v>payload</x:v>
      </x:c>
      <x:c r="C87" s="26" t="str">
        <x:v>Payload</x:v>
      </x:c>
      <x:c r="D87" s="26" t="str">
        <x:v>NUMBER</x:v>
      </x:c>
      <x:c r="E87" s="26" t="str">
        <x:v>NICE_TO_HAVE</x:v>
      </x:c>
      <x:c r="F87" s="26" t="str">
        <x:v>kg</x:v>
      </x:c>
      <x:c r="G87" s="26" t="str">
        <x:v>CONFIGURATION</x:v>
      </x:c>
      <x:c r="H87" s="26" t="str">
        <x:v>See enum lists where applicable</x:v>
      </x:c>
      <x:c r="I87" s="26"/>
      <x:c r="J87" s="26" t="str">
        <x:v>One atomic fact row; provenance via assertion.</x:v>
      </x:c>
    </x:row>
    <x:row r="88">
      <x:c r="A88" s="26" t="str">
        <x:v>06_EQUIPMENT</x:v>
      </x:c>
      <x:c r="B88" s="26" t="str">
        <x:v>aeb</x:v>
      </x:c>
      <x:c r="C88" s="26" t="str">
        <x:v>Automatic emergency braking</x:v>
      </x:c>
      <x:c r="D88" s="26" t="str">
        <x:v>ENUM</x:v>
      </x:c>
      <x:c r="E88" s="26" t="str">
        <x:v>MUST</x:v>
      </x:c>
      <x:c r="F88" s="26"/>
      <x:c r="G88" s="26" t="str">
        <x:v>CONFIGURATION</x:v>
      </x:c>
      <x:c r="H88" s="26" t="str">
        <x:v>EQUIPMENT_AVAILABILITY</x:v>
      </x:c>
      <x:c r="I88" s="26"/>
      <x:c r="J88" s="26" t="str">
        <x:v>One row per configuration + equipment_key.</x:v>
      </x:c>
    </x:row>
    <x:row r="89">
      <x:c r="A89" s="26" t="str">
        <x:v>06_EQUIPMENT</x:v>
      </x:c>
      <x:c r="B89" s="26" t="str">
        <x:v>adaptive_cruise_control</x:v>
      </x:c>
      <x:c r="C89" s="26" t="str">
        <x:v>Adaptive cruise control</x:v>
      </x:c>
      <x:c r="D89" s="26" t="str">
        <x:v>ENUM</x:v>
      </x:c>
      <x:c r="E89" s="26" t="str">
        <x:v>MUST</x:v>
      </x:c>
      <x:c r="F89" s="26"/>
      <x:c r="G89" s="26" t="str">
        <x:v>CONFIGURATION</x:v>
      </x:c>
      <x:c r="H89" s="26" t="str">
        <x:v>EQUIPMENT_AVAILABILITY</x:v>
      </x:c>
      <x:c r="I89" s="26"/>
      <x:c r="J89" s="26" t="str">
        <x:v>One row per configuration + equipment_key.</x:v>
      </x:c>
    </x:row>
    <x:row r="90">
      <x:c r="A90" s="26" t="str">
        <x:v>06_EQUIPMENT</x:v>
      </x:c>
      <x:c r="B90" s="26" t="str">
        <x:v>lane_departure_warning</x:v>
      </x:c>
      <x:c r="C90" s="26" t="str">
        <x:v>Lane departure warning</x:v>
      </x:c>
      <x:c r="D90" s="26" t="str">
        <x:v>ENUM</x:v>
      </x:c>
      <x:c r="E90" s="26" t="str">
        <x:v>MUST</x:v>
      </x:c>
      <x:c r="F90" s="26"/>
      <x:c r="G90" s="26" t="str">
        <x:v>CONFIGURATION</x:v>
      </x:c>
      <x:c r="H90" s="26" t="str">
        <x:v>EQUIPMENT_AVAILABILITY</x:v>
      </x:c>
      <x:c r="I90" s="26"/>
      <x:c r="J90" s="26" t="str">
        <x:v>One row per configuration + equipment_key.</x:v>
      </x:c>
    </x:row>
    <x:row r="91">
      <x:c r="A91" s="26" t="str">
        <x:v>06_EQUIPMENT</x:v>
      </x:c>
      <x:c r="B91" s="26" t="str">
        <x:v>lane_keep_assist</x:v>
      </x:c>
      <x:c r="C91" s="26" t="str">
        <x:v>Lane keeping assist</x:v>
      </x:c>
      <x:c r="D91" s="26" t="str">
        <x:v>ENUM</x:v>
      </x:c>
      <x:c r="E91" s="26" t="str">
        <x:v>MUST</x:v>
      </x:c>
      <x:c r="F91" s="26"/>
      <x:c r="G91" s="26" t="str">
        <x:v>CONFIGURATION</x:v>
      </x:c>
      <x:c r="H91" s="26" t="str">
        <x:v>EQUIPMENT_AVAILABILITY</x:v>
      </x:c>
      <x:c r="I91" s="26"/>
      <x:c r="J91" s="26" t="str">
        <x:v>One row per configuration + equipment_key.</x:v>
      </x:c>
    </x:row>
    <x:row r="92">
      <x:c r="A92" s="26" t="str">
        <x:v>06_EQUIPMENT</x:v>
      </x:c>
      <x:c r="B92" s="26" t="str">
        <x:v>blind_spot_monitor</x:v>
      </x:c>
      <x:c r="C92" s="26" t="str">
        <x:v>Blind-spot monitoring</x:v>
      </x:c>
      <x:c r="D92" s="26" t="str">
        <x:v>ENUM</x:v>
      </x:c>
      <x:c r="E92" s="26" t="str">
        <x:v>MUST</x:v>
      </x:c>
      <x:c r="F92" s="26"/>
      <x:c r="G92" s="26" t="str">
        <x:v>CONFIGURATION</x:v>
      </x:c>
      <x:c r="H92" s="26" t="str">
        <x:v>EQUIPMENT_AVAILABILITY</x:v>
      </x:c>
      <x:c r="I92" s="26"/>
      <x:c r="J92" s="26" t="str">
        <x:v>One row per configuration + equipment_key.</x:v>
      </x:c>
    </x:row>
    <x:row r="93">
      <x:c r="A93" s="26" t="str">
        <x:v>06_EQUIPMENT</x:v>
      </x:c>
      <x:c r="B93" s="26" t="str">
        <x:v>rear_cross_traffic_alert</x:v>
      </x:c>
      <x:c r="C93" s="26" t="str">
        <x:v>Rear cross-traffic alert</x:v>
      </x:c>
      <x:c r="D93" s="26" t="str">
        <x:v>ENUM</x:v>
      </x:c>
      <x:c r="E93" s="26" t="str">
        <x:v>MUST</x:v>
      </x:c>
      <x:c r="F93" s="26"/>
      <x:c r="G93" s="26" t="str">
        <x:v>CONFIGURATION</x:v>
      </x:c>
      <x:c r="H93" s="26" t="str">
        <x:v>EQUIPMENT_AVAILABILITY</x:v>
      </x:c>
      <x:c r="I93" s="26"/>
      <x:c r="J93" s="26" t="str">
        <x:v>One row per configuration + equipment_key.</x:v>
      </x:c>
    </x:row>
    <x:row r="94">
      <x:c r="A94" s="26" t="str">
        <x:v>06_EQUIPMENT</x:v>
      </x:c>
      <x:c r="B94" s="26" t="str">
        <x:v>isofix_rear</x:v>
      </x:c>
      <x:c r="C94" s="26" t="str">
        <x:v>Rear ISOFIX</x:v>
      </x:c>
      <x:c r="D94" s="26" t="str">
        <x:v>ENUM</x:v>
      </x:c>
      <x:c r="E94" s="26" t="str">
        <x:v>MUST</x:v>
      </x:c>
      <x:c r="F94" s="26"/>
      <x:c r="G94" s="26" t="str">
        <x:v>CONFIGURATION</x:v>
      </x:c>
      <x:c r="H94" s="26" t="str">
        <x:v>EQUIPMENT_AVAILABILITY</x:v>
      </x:c>
      <x:c r="I94" s="26"/>
      <x:c r="J94" s="26" t="str">
        <x:v>One row per configuration + equipment_key.</x:v>
      </x:c>
    </x:row>
    <x:row r="95">
      <x:c r="A95" s="26" t="str">
        <x:v>06_EQUIPMENT</x:v>
      </x:c>
      <x:c r="B95" s="26" t="str">
        <x:v>isofix_front</x:v>
      </x:c>
      <x:c r="C95" s="26" t="str">
        <x:v>Front ISOFIX</x:v>
      </x:c>
      <x:c r="D95" s="26" t="str">
        <x:v>ENUM</x:v>
      </x:c>
      <x:c r="E95" s="26" t="str">
        <x:v>MUST</x:v>
      </x:c>
      <x:c r="F95" s="26"/>
      <x:c r="G95" s="26" t="str">
        <x:v>CONFIGURATION</x:v>
      </x:c>
      <x:c r="H95" s="26" t="str">
        <x:v>EQUIPMENT_AVAILABILITY</x:v>
      </x:c>
      <x:c r="I95" s="26"/>
      <x:c r="J95" s="26" t="str">
        <x:v>One row per configuration + equipment_key.</x:v>
      </x:c>
    </x:row>
    <x:row r="96">
      <x:c r="A96" s="26" t="str">
        <x:v>06_EQUIPMENT</x:v>
      </x:c>
      <x:c r="B96" s="26" t="str">
        <x:v>parking_sensors_rear</x:v>
      </x:c>
      <x:c r="C96" s="26" t="str">
        <x:v>Rear parking sensors</x:v>
      </x:c>
      <x:c r="D96" s="26" t="str">
        <x:v>ENUM</x:v>
      </x:c>
      <x:c r="E96" s="26" t="str">
        <x:v>MUST</x:v>
      </x:c>
      <x:c r="F96" s="26"/>
      <x:c r="G96" s="26" t="str">
        <x:v>CONFIGURATION</x:v>
      </x:c>
      <x:c r="H96" s="26" t="str">
        <x:v>EQUIPMENT_AVAILABILITY</x:v>
      </x:c>
      <x:c r="I96" s="26"/>
      <x:c r="J96" s="26" t="str">
        <x:v>One row per configuration + equipment_key.</x:v>
      </x:c>
    </x:row>
    <x:row r="97">
      <x:c r="A97" s="26" t="str">
        <x:v>06_EQUIPMENT</x:v>
      </x:c>
      <x:c r="B97" s="26" t="str">
        <x:v>parking_sensors_front</x:v>
      </x:c>
      <x:c r="C97" s="26" t="str">
        <x:v>Front parking sensors</x:v>
      </x:c>
      <x:c r="D97" s="26" t="str">
        <x:v>ENUM</x:v>
      </x:c>
      <x:c r="E97" s="26" t="str">
        <x:v>MUST</x:v>
      </x:c>
      <x:c r="F97" s="26"/>
      <x:c r="G97" s="26" t="str">
        <x:v>CONFIGURATION</x:v>
      </x:c>
      <x:c r="H97" s="26" t="str">
        <x:v>EQUIPMENT_AVAILABILITY</x:v>
      </x:c>
      <x:c r="I97" s="26"/>
      <x:c r="J97" s="26" t="str">
        <x:v>One row per configuration + equipment_key.</x:v>
      </x:c>
    </x:row>
    <x:row r="98">
      <x:c r="A98" s="26" t="str">
        <x:v>06_EQUIPMENT</x:v>
      </x:c>
      <x:c r="B98" s="26" t="str">
        <x:v>reversing_camera</x:v>
      </x:c>
      <x:c r="C98" s="26" t="str">
        <x:v>Reversing camera</x:v>
      </x:c>
      <x:c r="D98" s="26" t="str">
        <x:v>ENUM</x:v>
      </x:c>
      <x:c r="E98" s="26" t="str">
        <x:v>MUST</x:v>
      </x:c>
      <x:c r="F98" s="26"/>
      <x:c r="G98" s="26" t="str">
        <x:v>CONFIGURATION</x:v>
      </x:c>
      <x:c r="H98" s="26" t="str">
        <x:v>EQUIPMENT_AVAILABILITY</x:v>
      </x:c>
      <x:c r="I98" s="26"/>
      <x:c r="J98" s="26" t="str">
        <x:v>One row per configuration + equipment_key.</x:v>
      </x:c>
    </x:row>
    <x:row r="99">
      <x:c r="A99" s="26" t="str">
        <x:v>06_EQUIPMENT</x:v>
      </x:c>
      <x:c r="B99" s="26" t="str">
        <x:v>camera_360</x:v>
      </x:c>
      <x:c r="C99" s="26" t="str">
        <x:v>360 camera</x:v>
      </x:c>
      <x:c r="D99" s="26" t="str">
        <x:v>ENUM</x:v>
      </x:c>
      <x:c r="E99" s="26" t="str">
        <x:v>MUST</x:v>
      </x:c>
      <x:c r="F99" s="26"/>
      <x:c r="G99" s="26" t="str">
        <x:v>CONFIGURATION</x:v>
      </x:c>
      <x:c r="H99" s="26" t="str">
        <x:v>EQUIPMENT_AVAILABILITY</x:v>
      </x:c>
      <x:c r="I99" s="26"/>
      <x:c r="J99" s="26" t="str">
        <x:v>One row per configuration + equipment_key.</x:v>
      </x:c>
    </x:row>
    <x:row r="100">
      <x:c r="A100" s="26" t="str">
        <x:v>06_EQUIPMENT</x:v>
      </x:c>
      <x:c r="B100" s="26" t="str">
        <x:v>apple_carplay</x:v>
      </x:c>
      <x:c r="C100" s="26" t="str">
        <x:v>Apple CarPlay</x:v>
      </x:c>
      <x:c r="D100" s="26" t="str">
        <x:v>ENUM</x:v>
      </x:c>
      <x:c r="E100" s="26" t="str">
        <x:v>MUST</x:v>
      </x:c>
      <x:c r="F100" s="26"/>
      <x:c r="G100" s="26" t="str">
        <x:v>CONFIGURATION</x:v>
      </x:c>
      <x:c r="H100" s="26" t="str">
        <x:v>EQUIPMENT_AVAILABILITY</x:v>
      </x:c>
      <x:c r="I100" s="26"/>
      <x:c r="J100" s="26" t="str">
        <x:v>One row per configuration + equipment_key.</x:v>
      </x:c>
    </x:row>
    <x:row r="101">
      <x:c r="A101" s="26" t="str">
        <x:v>06_EQUIPMENT</x:v>
      </x:c>
      <x:c r="B101" s="26" t="str">
        <x:v>android_auto</x:v>
      </x:c>
      <x:c r="C101" s="26" t="str">
        <x:v>Android Auto</x:v>
      </x:c>
      <x:c r="D101" s="26" t="str">
        <x:v>ENUM</x:v>
      </x:c>
      <x:c r="E101" s="26" t="str">
        <x:v>MUST</x:v>
      </x:c>
      <x:c r="F101" s="26"/>
      <x:c r="G101" s="26" t="str">
        <x:v>CONFIGURATION</x:v>
      </x:c>
      <x:c r="H101" s="26" t="str">
        <x:v>EQUIPMENT_AVAILABILITY</x:v>
      </x:c>
      <x:c r="I101" s="26"/>
      <x:c r="J101" s="26" t="str">
        <x:v>One row per configuration + equipment_key.</x:v>
      </x:c>
    </x:row>
    <x:row r="102">
      <x:c r="A102" s="26" t="str">
        <x:v>06_EQUIPMENT</x:v>
      </x:c>
      <x:c r="B102" s="26" t="str">
        <x:v>automatic_climate_control</x:v>
      </x:c>
      <x:c r="C102" s="26" t="str">
        <x:v>Automatic climate control</x:v>
      </x:c>
      <x:c r="D102" s="26" t="str">
        <x:v>ENUM</x:v>
      </x:c>
      <x:c r="E102" s="26" t="str">
        <x:v>SHOULD</x:v>
      </x:c>
      <x:c r="F102" s="26"/>
      <x:c r="G102" s="26" t="str">
        <x:v>CONFIGURATION</x:v>
      </x:c>
      <x:c r="H102" s="26" t="str">
        <x:v>EQUIPMENT_AVAILABILITY</x:v>
      </x:c>
      <x:c r="I102" s="26"/>
      <x:c r="J102" s="26" t="str">
        <x:v>One row per configuration + equipment_key.</x:v>
      </x:c>
    </x:row>
    <x:row r="103">
      <x:c r="A103" s="26" t="str">
        <x:v>06_EQUIPMENT</x:v>
      </x:c>
      <x:c r="B103" s="26" t="str">
        <x:v>heated_front_seats</x:v>
      </x:c>
      <x:c r="C103" s="26" t="str">
        <x:v>Heated front seats</x:v>
      </x:c>
      <x:c r="D103" s="26" t="str">
        <x:v>ENUM</x:v>
      </x:c>
      <x:c r="E103" s="26" t="str">
        <x:v>SHOULD</x:v>
      </x:c>
      <x:c r="F103" s="26"/>
      <x:c r="G103" s="26" t="str">
        <x:v>CONFIGURATION</x:v>
      </x:c>
      <x:c r="H103" s="26" t="str">
        <x:v>EQUIPMENT_AVAILABILITY</x:v>
      </x:c>
      <x:c r="I103" s="26"/>
      <x:c r="J103" s="26" t="str">
        <x:v>One row per configuration + equipment_key.</x:v>
      </x:c>
    </x:row>
    <x:row r="104">
      <x:c r="A104" s="26" t="str">
        <x:v>06_EQUIPMENT</x:v>
      </x:c>
      <x:c r="B104" s="26" t="str">
        <x:v>ventilated_front_seats</x:v>
      </x:c>
      <x:c r="C104" s="26" t="str">
        <x:v>Ventilated front seats</x:v>
      </x:c>
      <x:c r="D104" s="26" t="str">
        <x:v>ENUM</x:v>
      </x:c>
      <x:c r="E104" s="26" t="str">
        <x:v>SHOULD</x:v>
      </x:c>
      <x:c r="F104" s="26"/>
      <x:c r="G104" s="26" t="str">
        <x:v>CONFIGURATION</x:v>
      </x:c>
      <x:c r="H104" s="26" t="str">
        <x:v>EQUIPMENT_AVAILABILITY</x:v>
      </x:c>
      <x:c r="I104" s="26"/>
      <x:c r="J104" s="26" t="str">
        <x:v>One row per configuration + equipment_key.</x:v>
      </x:c>
    </x:row>
    <x:row r="105">
      <x:c r="A105" s="26" t="str">
        <x:v>06_EQUIPMENT</x:v>
      </x:c>
      <x:c r="B105" s="26" t="str">
        <x:v>powered_tailgate</x:v>
      </x:c>
      <x:c r="C105" s="26" t="str">
        <x:v>Powered tailgate</x:v>
      </x:c>
      <x:c r="D105" s="26" t="str">
        <x:v>ENUM</x:v>
      </x:c>
      <x:c r="E105" s="26" t="str">
        <x:v>SHOULD</x:v>
      </x:c>
      <x:c r="F105" s="26"/>
      <x:c r="G105" s="26" t="str">
        <x:v>CONFIGURATION</x:v>
      </x:c>
      <x:c r="H105" s="26" t="str">
        <x:v>EQUIPMENT_AVAILABILITY</x:v>
      </x:c>
      <x:c r="I105" s="26"/>
      <x:c r="J105" s="26" t="str">
        <x:v>One row per configuration + equipment_key.</x:v>
      </x:c>
    </x:row>
    <x:row r="106">
      <x:c r="A106" s="26" t="str">
        <x:v>06_EQUIPMENT</x:v>
      </x:c>
      <x:c r="B106" s="26" t="str">
        <x:v>keyless_entry</x:v>
      </x:c>
      <x:c r="C106" s="26" t="str">
        <x:v>Keyless entry</x:v>
      </x:c>
      <x:c r="D106" s="26" t="str">
        <x:v>ENUM</x:v>
      </x:c>
      <x:c r="E106" s="26" t="str">
        <x:v>SHOULD</x:v>
      </x:c>
      <x:c r="F106" s="26"/>
      <x:c r="G106" s="26" t="str">
        <x:v>CONFIGURATION</x:v>
      </x:c>
      <x:c r="H106" s="26" t="str">
        <x:v>EQUIPMENT_AVAILABILITY</x:v>
      </x:c>
      <x:c r="I106" s="26"/>
      <x:c r="J106" s="26" t="str">
        <x:v>One row per configuration + equipment_key.</x:v>
      </x:c>
    </x:row>
    <x:row r="107">
      <x:c r="A107" s="26" t="str">
        <x:v>07_SAFETY</x:v>
      </x:c>
      <x:c r="B107" s="26" t="str">
        <x:v>safety_id</x:v>
      </x:c>
      <x:c r="C107" s="26" t="str">
        <x:v>Immutable safety assessment ID.</x:v>
      </x:c>
      <x:c r="D107" s="26" t="str">
        <x:v>ID</x:v>
      </x:c>
      <x:c r="E107" s="26" t="str">
        <x:v>MUST</x:v>
      </x:c>
      <x:c r="F107" s="26"/>
      <x:c r="G107" s="26"/>
      <x:c r="H107" s="26"/>
      <x:c r="I107" s="26"/>
      <x:c r="J107" s="26"/>
    </x:row>
    <x:row r="108">
      <x:c r="A108" s="26" t="str">
        <x:v>07_SAFETY</x:v>
      </x:c>
      <x:c r="B108" s="26" t="str">
        <x:v>generation_id</x:v>
      </x:c>
      <x:c r="C108" s="26" t="str">
        <x:v>FK to generation.</x:v>
      </x:c>
      <x:c r="D108" s="26" t="str">
        <x:v>FK</x:v>
      </x:c>
      <x:c r="E108" s="26" t="str">
        <x:v>MUST</x:v>
      </x:c>
      <x:c r="F108" s="26"/>
      <x:c r="G108" s="26"/>
      <x:c r="H108" s="26"/>
      <x:c r="I108" s="26"/>
      <x:c r="J108" s="26"/>
    </x:row>
    <x:row r="109">
      <x:c r="A109" s="26" t="str">
        <x:v>07_SAFETY</x:v>
      </x:c>
      <x:c r="B109" s="26" t="str">
        <x:v>assessment_body</x:v>
      </x:c>
      <x:c r="C109" s="26" t="str">
        <x:v>Assessment organization.</x:v>
      </x:c>
      <x:c r="D109" s="26" t="str">
        <x:v>ENUM</x:v>
      </x:c>
      <x:c r="E109" s="26" t="str">
        <x:v>MUST</x:v>
      </x:c>
      <x:c r="F109" s="26"/>
      <x:c r="G109" s="26"/>
      <x:c r="H109" s="26" t="str">
        <x:v>ASSESSMENT_BODY</x:v>
      </x:c>
      <x:c r="I109" s="26"/>
      <x:c r="J109" s="26"/>
    </x:row>
    <x:row r="110">
      <x:c r="A110" s="26" t="str">
        <x:v>07_SAFETY</x:v>
      </x:c>
      <x:c r="B110" s="26" t="str">
        <x:v>assessment_year</x:v>
      </x:c>
      <x:c r="C110" s="26" t="str">
        <x:v>Assessment year.</x:v>
      </x:c>
      <x:c r="D110" s="26" t="str">
        <x:v>INTEGER</x:v>
      </x:c>
      <x:c r="E110" s="26" t="str">
        <x:v>MUST</x:v>
      </x:c>
      <x:c r="F110" s="26"/>
      <x:c r="G110" s="26"/>
      <x:c r="H110" s="26"/>
      <x:c r="I110" s="26"/>
      <x:c r="J110" s="26"/>
    </x:row>
    <x:row r="111">
      <x:c r="A111" s="26" t="str">
        <x:v>07_SAFETY</x:v>
      </x:c>
      <x:c r="B111" s="26" t="str">
        <x:v>overall_rating</x:v>
      </x:c>
      <x:c r="C111" s="26" t="str">
        <x:v>Overall rating/stars where applicable.</x:v>
      </x:c>
      <x:c r="D111" s="26" t="str">
        <x:v>NUMBER</x:v>
      </x:c>
      <x:c r="E111" s="26" t="str">
        <x:v>SHOULD</x:v>
      </x:c>
      <x:c r="F111" s="26"/>
      <x:c r="G111" s="26"/>
      <x:c r="H111" s="26"/>
      <x:c r="I111" s="26"/>
      <x:c r="J111" s="26"/>
    </x:row>
    <x:row r="112">
      <x:c r="A112" s="26" t="str">
        <x:v>07_SAFETY</x:v>
      </x:c>
      <x:c r="B112" s="26" t="str">
        <x:v>adult_occupant_score</x:v>
      </x:c>
      <x:c r="C112" s="26" t="str">
        <x:v>Adult occupant score.</x:v>
      </x:c>
      <x:c r="D112" s="26" t="str">
        <x:v>NUMBER</x:v>
      </x:c>
      <x:c r="E112" s="26" t="str">
        <x:v>SHOULD</x:v>
      </x:c>
      <x:c r="F112" s="26"/>
      <x:c r="G112" s="26"/>
      <x:c r="H112" s="26"/>
      <x:c r="I112" s="26"/>
      <x:c r="J112" s="26"/>
    </x:row>
    <x:row r="113">
      <x:c r="A113" s="26" t="str">
        <x:v>07_SAFETY</x:v>
      </x:c>
      <x:c r="B113" s="26" t="str">
        <x:v>child_occupant_score</x:v>
      </x:c>
      <x:c r="C113" s="26" t="str">
        <x:v>Child occupant score.</x:v>
      </x:c>
      <x:c r="D113" s="26" t="str">
        <x:v>NUMBER</x:v>
      </x:c>
      <x:c r="E113" s="26" t="str">
        <x:v>SHOULD</x:v>
      </x:c>
      <x:c r="F113" s="26"/>
      <x:c r="G113" s="26"/>
      <x:c r="H113" s="26"/>
      <x:c r="I113" s="26"/>
      <x:c r="J113" s="26"/>
    </x:row>
    <x:row r="114">
      <x:c r="A114" s="26" t="str">
        <x:v>07_SAFETY</x:v>
      </x:c>
      <x:c r="B114" s="26" t="str">
        <x:v>vulnerable_road_user_score</x:v>
      </x:c>
      <x:c r="C114" s="26" t="str">
        <x:v>Vulnerable road user score.</x:v>
      </x:c>
      <x:c r="D114" s="26" t="str">
        <x:v>NUMBER</x:v>
      </x:c>
      <x:c r="E114" s="26" t="str">
        <x:v>SHOULD</x:v>
      </x:c>
      <x:c r="F114" s="26"/>
      <x:c r="G114" s="26"/>
      <x:c r="H114" s="26"/>
      <x:c r="I114" s="26"/>
      <x:c r="J114" s="26"/>
    </x:row>
    <x:row r="115">
      <x:c r="A115" s="26" t="str">
        <x:v>07_SAFETY</x:v>
      </x:c>
      <x:c r="B115" s="26" t="str">
        <x:v>safety_assist_score</x:v>
      </x:c>
      <x:c r="C115" s="26" t="str">
        <x:v>Safety assist score.</x:v>
      </x:c>
      <x:c r="D115" s="26" t="str">
        <x:v>NUMBER</x:v>
      </x:c>
      <x:c r="E115" s="26" t="str">
        <x:v>SHOULD</x:v>
      </x:c>
      <x:c r="F115" s="26"/>
      <x:c r="G115" s="26"/>
      <x:c r="H115" s="26"/>
      <x:c r="I115" s="26"/>
      <x:c r="J115" s="26"/>
    </x:row>
    <x:row r="116">
      <x:c r="A116" s="26" t="str">
        <x:v>07_SAFETY</x:v>
      </x:c>
      <x:c r="B116" s="26" t="str">
        <x:v>applicability_status</x:v>
      </x:c>
      <x:c r="C116" s="26" t="str">
        <x:v>Assessment applicability.</x:v>
      </x:c>
      <x:c r="D116" s="26" t="str">
        <x:v>ENUM</x:v>
      </x:c>
      <x:c r="E116" s="26" t="str">
        <x:v>MUST</x:v>
      </x:c>
      <x:c r="F116" s="26"/>
      <x:c r="G116" s="26"/>
      <x:c r="H116" s="26" t="str">
        <x:v>APPLICABILITY_STATUS</x:v>
      </x:c>
      <x:c r="I116" s="26"/>
      <x:c r="J116" s="26"/>
    </x:row>
    <x:row r="117">
      <x:c r="A117" s="26" t="str">
        <x:v>07_SAFETY</x:v>
      </x:c>
      <x:c r="B117" s="26" t="str">
        <x:v>notes</x:v>
      </x:c>
      <x:c r="C117" s="26" t="str">
        <x:v>Notes.</x:v>
      </x:c>
      <x:c r="D117" s="26" t="str">
        <x:v>TEXT</x:v>
      </x:c>
      <x:c r="E117" s="26" t="str">
        <x:v>NICE_TO_HAVE</x:v>
      </x:c>
      <x:c r="F117" s="26"/>
      <x:c r="G117" s="26"/>
      <x:c r="H117" s="26"/>
      <x:c r="I117" s="26"/>
      <x:c r="J117" s="26"/>
    </x:row>
    <x:row r="118">
      <x:c r="A118" s="26" t="str">
        <x:v>08_SOURCES</x:v>
      </x:c>
      <x:c r="B118" s="26" t="str">
        <x:v>source_id</x:v>
      </x:c>
      <x:c r="C118" s="26" t="str">
        <x:v>Immutable source ID.</x:v>
      </x:c>
      <x:c r="D118" s="26" t="str">
        <x:v>ID</x:v>
      </x:c>
      <x:c r="E118" s="26" t="str">
        <x:v>MUST</x:v>
      </x:c>
      <x:c r="F118" s="26"/>
      <x:c r="G118" s="26"/>
      <x:c r="H118" s="26"/>
      <x:c r="I118" s="26"/>
      <x:c r="J118" s="26"/>
    </x:row>
    <x:row r="119">
      <x:c r="A119" s="26" t="str">
        <x:v>08_SOURCES</x:v>
      </x:c>
      <x:c r="B119" s="26" t="str">
        <x:v>publisher</x:v>
      </x:c>
      <x:c r="C119" s="26" t="str">
        <x:v>Publisher/owner.</x:v>
      </x:c>
      <x:c r="D119" s="26" t="str">
        <x:v>TEXT</x:v>
      </x:c>
      <x:c r="E119" s="26" t="str">
        <x:v>MUST</x:v>
      </x:c>
      <x:c r="F119" s="26"/>
      <x:c r="G119" s="26"/>
      <x:c r="H119" s="26"/>
      <x:c r="I119" s="26"/>
      <x:c r="J119" s="26"/>
    </x:row>
    <x:row r="120">
      <x:c r="A120" s="26" t="str">
        <x:v>08_SOURCES</x:v>
      </x:c>
      <x:c r="B120" s="26" t="str">
        <x:v>source_title</x:v>
      </x:c>
      <x:c r="C120" s="26" t="str">
        <x:v>Document/page title.</x:v>
      </x:c>
      <x:c r="D120" s="26" t="str">
        <x:v>TEXT</x:v>
      </x:c>
      <x:c r="E120" s="26" t="str">
        <x:v>MUST</x:v>
      </x:c>
      <x:c r="F120" s="26"/>
      <x:c r="G120" s="26"/>
      <x:c r="H120" s="26"/>
      <x:c r="I120" s="26"/>
      <x:c r="J120" s="26"/>
    </x:row>
    <x:row r="121">
      <x:c r="A121" s="26" t="str">
        <x:v>08_SOURCES</x:v>
      </x:c>
      <x:c r="B121" s="26" t="str">
        <x:v>source_type</x:v>
      </x:c>
      <x:c r="C121" s="26" t="str">
        <x:v>Source category.</x:v>
      </x:c>
      <x:c r="D121" s="26" t="str">
        <x:v>ENUM</x:v>
      </x:c>
      <x:c r="E121" s="26" t="str">
        <x:v>MUST</x:v>
      </x:c>
      <x:c r="F121" s="26"/>
      <x:c r="G121" s="26"/>
      <x:c r="H121" s="26" t="str">
        <x:v>SOURCE_TYPE</x:v>
      </x:c>
      <x:c r="I121" s="26"/>
      <x:c r="J121" s="26"/>
    </x:row>
    <x:row r="122">
      <x:c r="A122" s="26" t="str">
        <x:v>08_SOURCES</x:v>
      </x:c>
      <x:c r="B122" s="26" t="str">
        <x:v>source_url</x:v>
      </x:c>
      <x:c r="C122" s="26" t="str">
        <x:v>Plain-text source URL.</x:v>
      </x:c>
      <x:c r="D122" s="26" t="str">
        <x:v>URL</x:v>
      </x:c>
      <x:c r="E122" s="26" t="str">
        <x:v>MUST</x:v>
      </x:c>
      <x:c r="F122" s="26"/>
      <x:c r="G122" s="26"/>
      <x:c r="H122" s="26"/>
      <x:c r="I122" s="26"/>
      <x:c r="J122" s="26"/>
    </x:row>
    <x:row r="123">
      <x:c r="A123" s="26" t="str">
        <x:v>08_SOURCES</x:v>
      </x:c>
      <x:c r="B123" s="26" t="str">
        <x:v>market</x:v>
      </x:c>
      <x:c r="C123" s="26" t="str">
        <x:v>Market scope.</x:v>
      </x:c>
      <x:c r="D123" s="26" t="str">
        <x:v>ENUM</x:v>
      </x:c>
      <x:c r="E123" s="26" t="str">
        <x:v>SHOULD</x:v>
      </x:c>
      <x:c r="F123" s="26"/>
      <x:c r="G123" s="26"/>
      <x:c r="H123" s="26" t="str">
        <x:v>MARKET</x:v>
      </x:c>
      <x:c r="I123" s="26"/>
      <x:c r="J123" s="26"/>
    </x:row>
    <x:row r="124">
      <x:c r="A124" s="26" t="str">
        <x:v>08_SOURCES</x:v>
      </x:c>
      <x:c r="B124" s="26" t="str">
        <x:v>publication_date</x:v>
      </x:c>
      <x:c r="C124" s="26" t="str">
        <x:v>Publication date.</x:v>
      </x:c>
      <x:c r="D124" s="26" t="str">
        <x:v>DATE</x:v>
      </x:c>
      <x:c r="E124" s="26" t="str">
        <x:v>SHOULD</x:v>
      </x:c>
      <x:c r="F124" s="26"/>
      <x:c r="G124" s="26"/>
      <x:c r="H124" s="26"/>
      <x:c r="I124" s="26"/>
      <x:c r="J124" s="26"/>
    </x:row>
    <x:row r="125">
      <x:c r="A125" s="26" t="str">
        <x:v>08_SOURCES</x:v>
      </x:c>
      <x:c r="B125" s="26" t="str">
        <x:v>retrieved_at</x:v>
      </x:c>
      <x:c r="C125" s="26" t="str">
        <x:v>Retrieval date.</x:v>
      </x:c>
      <x:c r="D125" s="26" t="str">
        <x:v>DATE</x:v>
      </x:c>
      <x:c r="E125" s="26" t="str">
        <x:v>MUST</x:v>
      </x:c>
      <x:c r="F125" s="26"/>
      <x:c r="G125" s="26"/>
      <x:c r="H125" s="26"/>
      <x:c r="I125" s="26"/>
      <x:c r="J125" s="26"/>
    </x:row>
    <x:row r="126">
      <x:c r="A126" s="26" t="str">
        <x:v>08_SOURCES</x:v>
      </x:c>
      <x:c r="B126" s="26" t="str">
        <x:v>authority_class</x:v>
      </x:c>
      <x:c r="C126" s="26" t="str">
        <x:v>Source authority class.</x:v>
      </x:c>
      <x:c r="D126" s="26" t="str">
        <x:v>ENUM</x:v>
      </x:c>
      <x:c r="E126" s="26" t="str">
        <x:v>MUST</x:v>
      </x:c>
      <x:c r="F126" s="26"/>
      <x:c r="G126" s="26"/>
      <x:c r="H126" s="26" t="str">
        <x:v>AUTHORITY_CLASS</x:v>
      </x:c>
      <x:c r="I126" s="26"/>
      <x:c r="J126" s="26"/>
    </x:row>
    <x:row r="127">
      <x:c r="A127" s="26" t="str">
        <x:v>08_SOURCES</x:v>
      </x:c>
      <x:c r="B127" s="26" t="str">
        <x:v>source_status</x:v>
      </x:c>
      <x:c r="C127" s="26" t="str">
        <x:v>Source lifecycle/status.</x:v>
      </x:c>
      <x:c r="D127" s="26" t="str">
        <x:v>ENUM</x:v>
      </x:c>
      <x:c r="E127" s="26" t="str">
        <x:v>MUST</x:v>
      </x:c>
      <x:c r="F127" s="26"/>
      <x:c r="G127" s="26"/>
      <x:c r="H127" s="26" t="str">
        <x:v>SOURCE_STATUS</x:v>
      </x:c>
      <x:c r="I127" s="26"/>
      <x:c r="J127" s="26"/>
    </x:row>
    <x:row r="128">
      <x:c r="A128" s="26" t="str">
        <x:v>08_SOURCES</x:v>
      </x:c>
      <x:c r="B128" s="26" t="str">
        <x:v>notes</x:v>
      </x:c>
      <x:c r="C128" s="26" t="str">
        <x:v>Notes.</x:v>
      </x:c>
      <x:c r="D128" s="26" t="str">
        <x:v>TEXT</x:v>
      </x:c>
      <x:c r="E128" s="26" t="str">
        <x:v>NICE_TO_HAVE</x:v>
      </x:c>
      <x:c r="F128" s="26"/>
      <x:c r="G128" s="26"/>
      <x:c r="H128" s="26"/>
      <x:c r="I128" s="26"/>
      <x:c r="J128" s="26"/>
    </x:row>
    <x:row r="129">
      <x:c r="A129" s="26" t="str">
        <x:v>09_ASSERTIONS</x:v>
      </x:c>
      <x:c r="B129" s="26" t="str">
        <x:v>assertion_id</x:v>
      </x:c>
      <x:c r="C129" s="26" t="str">
        <x:v>Immutable assertion ID.</x:v>
      </x:c>
      <x:c r="D129" s="26" t="str">
        <x:v>ID</x:v>
      </x:c>
      <x:c r="E129" s="26" t="str">
        <x:v>MUST</x:v>
      </x:c>
      <x:c r="F129" s="26"/>
      <x:c r="G129" s="26"/>
      <x:c r="H129" s="26"/>
      <x:c r="I129" s="26"/>
      <x:c r="J129" s="26"/>
    </x:row>
    <x:row r="130">
      <x:c r="A130" s="26" t="str">
        <x:v>09_ASSERTIONS</x:v>
      </x:c>
      <x:c r="B130" s="26" t="str">
        <x:v>evidence_type</x:v>
      </x:c>
      <x:c r="C130" s="26" t="str">
        <x:v>Evidence entity class.</x:v>
      </x:c>
      <x:c r="D130" s="26" t="str">
        <x:v>ENUM</x:v>
      </x:c>
      <x:c r="E130" s="26" t="str">
        <x:v>MUST</x:v>
      </x:c>
      <x:c r="F130" s="26"/>
      <x:c r="G130" s="26"/>
      <x:c r="H130" s="26" t="str">
        <x:v>EVIDENCE_TYPE</x:v>
      </x:c>
      <x:c r="I130" s="26"/>
      <x:c r="J130" s="26"/>
    </x:row>
    <x:row r="131">
      <x:c r="A131" s="26" t="str">
        <x:v>09_ASSERTIONS</x:v>
      </x:c>
      <x:c r="B131" s="26" t="str">
        <x:v>evidence_id</x:v>
      </x:c>
      <x:c r="C131" s="26" t="str">
        <x:v>FK to evidence row.</x:v>
      </x:c>
      <x:c r="D131" s="26" t="str">
        <x:v>FK</x:v>
      </x:c>
      <x:c r="E131" s="26" t="str">
        <x:v>MUST</x:v>
      </x:c>
      <x:c r="F131" s="26"/>
      <x:c r="G131" s="26"/>
      <x:c r="H131" s="26"/>
      <x:c r="I131" s="26"/>
      <x:c r="J131" s="26"/>
    </x:row>
    <x:row r="132">
      <x:c r="A132" s="26" t="str">
        <x:v>09_ASSERTIONS</x:v>
      </x:c>
      <x:c r="B132" s="26" t="str">
        <x:v>source_id</x:v>
      </x:c>
      <x:c r="C132" s="26" t="str">
        <x:v>FK to source.</x:v>
      </x:c>
      <x:c r="D132" s="26" t="str">
        <x:v>FK</x:v>
      </x:c>
      <x:c r="E132" s="26" t="str">
        <x:v>MUST</x:v>
      </x:c>
      <x:c r="F132" s="26"/>
      <x:c r="G132" s="26"/>
      <x:c r="H132" s="26"/>
      <x:c r="I132" s="26"/>
      <x:c r="J132" s="26"/>
    </x:row>
    <x:row r="133">
      <x:c r="A133" s="26" t="str">
        <x:v>09_ASSERTIONS</x:v>
      </x:c>
      <x:c r="B133" s="26" t="str">
        <x:v>source_location</x:v>
      </x:c>
      <x:c r="C133" s="26" t="str">
        <x:v>Page/table/section/anchor.</x:v>
      </x:c>
      <x:c r="D133" s="26" t="str">
        <x:v>TEXT</x:v>
      </x:c>
      <x:c r="E133" s="26" t="str">
        <x:v>SHOULD</x:v>
      </x:c>
      <x:c r="F133" s="26"/>
      <x:c r="G133" s="26"/>
      <x:c r="H133" s="26"/>
      <x:c r="I133" s="26"/>
      <x:c r="J133" s="26"/>
    </x:row>
    <x:row r="134">
      <x:c r="A134" s="26" t="str">
        <x:v>09_ASSERTIONS</x:v>
      </x:c>
      <x:c r="B134" s="26" t="str">
        <x:v>extraction_method</x:v>
      </x:c>
      <x:c r="C134" s="26" t="str">
        <x:v>How value was extracted.</x:v>
      </x:c>
      <x:c r="D134" s="26" t="str">
        <x:v>ENUM</x:v>
      </x:c>
      <x:c r="E134" s="26" t="str">
        <x:v>MUST</x:v>
      </x:c>
      <x:c r="F134" s="26"/>
      <x:c r="G134" s="26"/>
      <x:c r="H134" s="26" t="str">
        <x:v>EXTRACTION_METHOD</x:v>
      </x:c>
      <x:c r="I134" s="26"/>
      <x:c r="J134" s="26"/>
    </x:row>
    <x:row r="135">
      <x:c r="A135" s="26" t="str">
        <x:v>09_ASSERTIONS</x:v>
      </x:c>
      <x:c r="B135" s="26" t="str">
        <x:v>verification_status</x:v>
      </x:c>
      <x:c r="C135" s="26" t="str">
        <x:v>Verification outcome.</x:v>
      </x:c>
      <x:c r="D135" s="26" t="str">
        <x:v>ENUM</x:v>
      </x:c>
      <x:c r="E135" s="26" t="str">
        <x:v>MUST</x:v>
      </x:c>
      <x:c r="F135" s="26"/>
      <x:c r="G135" s="26"/>
      <x:c r="H135" s="26" t="str">
        <x:v>VERIFICATION_STATUS</x:v>
      </x:c>
      <x:c r="I135" s="26"/>
      <x:c r="J135" s="26"/>
    </x:row>
    <x:row r="136">
      <x:c r="A136" s="26" t="str">
        <x:v>09_ASSERTIONS</x:v>
      </x:c>
      <x:c r="B136" s="26" t="str">
        <x:v>applicability_status</x:v>
      </x:c>
      <x:c r="C136" s="26" t="str">
        <x:v>Subject/model-year/market applicability.</x:v>
      </x:c>
      <x:c r="D136" s="26" t="str">
        <x:v>ENUM</x:v>
      </x:c>
      <x:c r="E136" s="26" t="str">
        <x:v>MUST</x:v>
      </x:c>
      <x:c r="F136" s="26"/>
      <x:c r="G136" s="26"/>
      <x:c r="H136" s="26" t="str">
        <x:v>APPLICABILITY_STATUS</x:v>
      </x:c>
      <x:c r="I136" s="26"/>
      <x:c r="J136" s="26"/>
    </x:row>
    <x:row r="137">
      <x:c r="A137" s="26" t="str">
        <x:v>09_ASSERTIONS</x:v>
      </x:c>
      <x:c r="B137" s="26" t="str">
        <x:v>verified_at</x:v>
      </x:c>
      <x:c r="C137" s="26" t="str">
        <x:v>Verification date.</x:v>
      </x:c>
      <x:c r="D137" s="26" t="str">
        <x:v>DATE</x:v>
      </x:c>
      <x:c r="E137" s="26" t="str">
        <x:v>SHOULD</x:v>
      </x:c>
      <x:c r="F137" s="26"/>
      <x:c r="G137" s="26"/>
      <x:c r="H137" s="26"/>
      <x:c r="I137" s="26"/>
      <x:c r="J137" s="26"/>
    </x:row>
    <x:row r="138">
      <x:c r="A138" s="26" t="str">
        <x:v>09_ASSERTIONS</x:v>
      </x:c>
      <x:c r="B138" s="26" t="str">
        <x:v>verified_by</x:v>
      </x:c>
      <x:c r="C138" s="26" t="str">
        <x:v>Verifier identity/role.</x:v>
      </x:c>
      <x:c r="D138" s="26" t="str">
        <x:v>TEXT</x:v>
      </x:c>
      <x:c r="E138" s="26" t="str">
        <x:v>SHOULD</x:v>
      </x:c>
      <x:c r="F138" s="26"/>
      <x:c r="G138" s="26"/>
      <x:c r="H138" s="26"/>
      <x:c r="I138" s="26"/>
      <x:c r="J138" s="26"/>
    </x:row>
    <x:row r="139">
      <x:c r="A139" s="26" t="str">
        <x:v>09_ASSERTIONS</x:v>
      </x:c>
      <x:c r="B139" s="26" t="str">
        <x:v>notes</x:v>
      </x:c>
      <x:c r="C139" s="26" t="str">
        <x:v>Notes.</x:v>
      </x:c>
      <x:c r="D139" s="26" t="str">
        <x:v>TEXT</x:v>
      </x:c>
      <x:c r="E139" s="26" t="str">
        <x:v>NICE_TO_HAVE</x:v>
      </x:c>
      <x:c r="F139" s="26"/>
      <x:c r="G139" s="26"/>
      <x:c r="H139" s="26"/>
      <x:c r="I139" s="26"/>
      <x:c r="J139" s="26"/>
    </x:row>
    <x:row r="140">
      <x:c r="A140" s="26" t="str">
        <x:v>10_COLLECTION_QUEUE</x:v>
      </x:c>
      <x:c r="B140" s="26" t="str">
        <x:v>queue_id</x:v>
      </x:c>
      <x:c r="C140" s="26" t="str">
        <x:v>Immutable collection task ID.</x:v>
      </x:c>
      <x:c r="D140" s="26" t="str">
        <x:v>ID</x:v>
      </x:c>
      <x:c r="E140" s="26" t="str">
        <x:v>MUST</x:v>
      </x:c>
      <x:c r="F140" s="26"/>
      <x:c r="G140" s="26"/>
      <x:c r="H140" s="26"/>
      <x:c r="I140" s="26"/>
      <x:c r="J140" s="26"/>
    </x:row>
    <x:row r="141">
      <x:c r="A141" s="26" t="str">
        <x:v>10_COLLECTION_QUEUE</x:v>
      </x:c>
      <x:c r="B141" s="26" t="str">
        <x:v>subject_id</x:v>
      </x:c>
      <x:c r="C141" s="26" t="str">
        <x:v>Target subject.</x:v>
      </x:c>
      <x:c r="D141" s="26" t="str">
        <x:v>FK</x:v>
      </x:c>
      <x:c r="E141" s="26" t="str">
        <x:v>MUST</x:v>
      </x:c>
      <x:c r="F141" s="26"/>
      <x:c r="G141" s="26"/>
      <x:c r="H141" s="26"/>
      <x:c r="I141" s="26"/>
      <x:c r="J141" s="26"/>
    </x:row>
    <x:row r="142">
      <x:c r="A142" s="26" t="str">
        <x:v>10_COLLECTION_QUEUE</x:v>
      </x:c>
      <x:c r="B142" s="26" t="str">
        <x:v>fact_key</x:v>
      </x:c>
      <x:c r="C142" s="26" t="str">
        <x:v>Requested fact/equipment/safety key.</x:v>
      </x:c>
      <x:c r="D142" s="26" t="str">
        <x:v>TEXT</x:v>
      </x:c>
      <x:c r="E142" s="26" t="str">
        <x:v>MUST</x:v>
      </x:c>
      <x:c r="F142" s="26"/>
      <x:c r="G142" s="26"/>
      <x:c r="H142" s="26"/>
      <x:c r="I142" s="26"/>
      <x:c r="J142" s="26"/>
    </x:row>
    <x:row r="143">
      <x:c r="A143" s="26" t="str">
        <x:v>10_COLLECTION_QUEUE</x:v>
      </x:c>
      <x:c r="B143" s="26" t="str">
        <x:v>priority</x:v>
      </x:c>
      <x:c r="C143" s="26" t="str">
        <x:v>Collection priority.</x:v>
      </x:c>
      <x:c r="D143" s="26" t="str">
        <x:v>ENUM</x:v>
      </x:c>
      <x:c r="E143" s="26" t="str">
        <x:v>MUST</x:v>
      </x:c>
      <x:c r="F143" s="26"/>
      <x:c r="G143" s="26"/>
      <x:c r="H143" s="26" t="str">
        <x:v>PRIORITY</x:v>
      </x:c>
      <x:c r="I143" s="26"/>
      <x:c r="J143" s="26"/>
    </x:row>
    <x:row r="144">
      <x:c r="A144" s="26" t="str">
        <x:v>10_COLLECTION_QUEUE</x:v>
      </x:c>
      <x:c r="B144" s="26" t="str">
        <x:v>collection_status</x:v>
      </x:c>
      <x:c r="C144" s="26" t="str">
        <x:v>Workflow state.</x:v>
      </x:c>
      <x:c r="D144" s="26" t="str">
        <x:v>ENUM</x:v>
      </x:c>
      <x:c r="E144" s="26" t="str">
        <x:v>MUST</x:v>
      </x:c>
      <x:c r="F144" s="26"/>
      <x:c r="G144" s="26"/>
      <x:c r="H144" s="26" t="str">
        <x:v>COLLECTION_STATUS</x:v>
      </x:c>
      <x:c r="I144" s="26"/>
      <x:c r="J144" s="26"/>
    </x:row>
    <x:row r="145">
      <x:c r="A145" s="26" t="str">
        <x:v>10_COLLECTION_QUEUE</x:v>
      </x:c>
      <x:c r="B145" s="26" t="str">
        <x:v>preferred_source_type</x:v>
      </x:c>
      <x:c r="C145" s="26" t="str">
        <x:v>Preferred authority tier.</x:v>
      </x:c>
      <x:c r="D145" s="26" t="str">
        <x:v>ENUM</x:v>
      </x:c>
      <x:c r="E145" s="26" t="str">
        <x:v>SHOULD</x:v>
      </x:c>
      <x:c r="F145" s="26"/>
      <x:c r="G145" s="26"/>
      <x:c r="H145" s="26" t="str">
        <x:v>PREFERRED_SOURCE_TYPE</x:v>
      </x:c>
      <x:c r="I145" s="26"/>
      <x:c r="J145" s="26"/>
    </x:row>
    <x:row r="146">
      <x:c r="A146" s="26" t="str">
        <x:v>10_COLLECTION_QUEUE</x:v>
      </x:c>
      <x:c r="B146" s="26" t="str">
        <x:v>assigned_method</x:v>
      </x:c>
      <x:c r="C146" s="26" t="str">
        <x:v>Collection method.</x:v>
      </x:c>
      <x:c r="D146" s="26" t="str">
        <x:v>ENUM</x:v>
      </x:c>
      <x:c r="E146" s="26" t="str">
        <x:v>MUST</x:v>
      </x:c>
      <x:c r="F146" s="26"/>
      <x:c r="G146" s="26"/>
      <x:c r="H146" s="26" t="str">
        <x:v>ASSIGNED_METHOD</x:v>
      </x:c>
      <x:c r="I146" s="26"/>
      <x:c r="J146" s="26"/>
    </x:row>
    <x:row r="147">
      <x:c r="A147" s="26" t="str">
        <x:v>10_COLLECTION_QUEUE</x:v>
      </x:c>
      <x:c r="B147" s="26" t="str">
        <x:v>attempt_count</x:v>
      </x:c>
      <x:c r="C147" s="26" t="str">
        <x:v>Number of attempts.</x:v>
      </x:c>
      <x:c r="D147" s="26" t="str">
        <x:v>INTEGER</x:v>
      </x:c>
      <x:c r="E147" s="26" t="str">
        <x:v>SHOULD</x:v>
      </x:c>
      <x:c r="F147" s="26"/>
      <x:c r="G147" s="26"/>
      <x:c r="H147" s="26"/>
      <x:c r="I147" s="26"/>
      <x:c r="J147" s="26"/>
    </x:row>
    <x:row r="148">
      <x:c r="A148" s="26" t="str">
        <x:v>10_COLLECTION_QUEUE</x:v>
      </x:c>
      <x:c r="B148" s="26" t="str">
        <x:v>last_attempt_at</x:v>
      </x:c>
      <x:c r="C148" s="26" t="str">
        <x:v>Last attempt date.</x:v>
      </x:c>
      <x:c r="D148" s="26" t="str">
        <x:v>DATE</x:v>
      </x:c>
      <x:c r="E148" s="26" t="str">
        <x:v>SHOULD</x:v>
      </x:c>
      <x:c r="F148" s="26"/>
      <x:c r="G148" s="26"/>
      <x:c r="H148" s="26"/>
      <x:c r="I148" s="26"/>
      <x:c r="J148" s="26"/>
    </x:row>
    <x:row r="149">
      <x:c r="A149" s="26" t="str">
        <x:v>10_COLLECTION_QUEUE</x:v>
      </x:c>
      <x:c r="B149" s="26" t="str">
        <x:v>result</x:v>
      </x:c>
      <x:c r="C149" s="26" t="str">
        <x:v>Collection outcome.</x:v>
      </x:c>
      <x:c r="D149" s="26" t="str">
        <x:v>ENUM</x:v>
      </x:c>
      <x:c r="E149" s="26" t="str">
        <x:v>SHOULD</x:v>
      </x:c>
      <x:c r="F149" s="26"/>
      <x:c r="G149" s="26"/>
      <x:c r="H149" s="26" t="str">
        <x:v>COLLECTION_RESULT</x:v>
      </x:c>
      <x:c r="I149" s="26"/>
      <x:c r="J149" s="26"/>
    </x:row>
    <x:row r="150">
      <x:c r="A150" s="26" t="str">
        <x:v>10_COLLECTION_QUEUE</x:v>
      </x:c>
      <x:c r="B150" s="26" t="str">
        <x:v>notes</x:v>
      </x:c>
      <x:c r="C150" s="26" t="str">
        <x:v>Notes.</x:v>
      </x:c>
      <x:c r="D150" s="26" t="str">
        <x:v>TEXT</x:v>
      </x:c>
      <x:c r="E150" s="26" t="str">
        <x:v>NICE_TO_HAVE</x:v>
      </x:c>
      <x:c r="F150" s="26"/>
      <x:c r="G150" s="26"/>
      <x:c r="H150" s="26"/>
      <x:c r="I150" s="26"/>
      <x:c r="J150" s="26"/>
    </x:row>
    <x:row r="151">
      <x:c r="A151" s="26" t="str">
        <x:v>05_EVIDENCE_FACTS</x:v>
      </x:c>
      <x:c r="B151" s="26" t="str">
        <x:v>dc_charge_time_min</x:v>
      </x:c>
      <x:c r="C151" s="26" t="str">
        <x:v>DC fast-charge duration for explicitly stated SOC interval.</x:v>
      </x:c>
      <x:c r="D151" s="26" t="str">
        <x:v>NUMBER</x:v>
      </x:c>
      <x:c r="E151" s="26" t="str">
        <x:v>SHOULD</x:v>
      </x:c>
      <x:c r="F151" s="26" t="str">
        <x:v>min</x:v>
      </x:c>
      <x:c r="G151" s="26" t="str">
        <x:v>POWERTRAIN_OR_CONFIGURATION</x:v>
      </x:c>
      <x:c r="H151" s="26" t="str">
        <x:v>measurement_context MUST contain SOC interval and charge-power context</x:v>
      </x:c>
      <x:c r="I151" s="26" t="str">
        <x:v>35</x:v>
      </x:c>
      <x:c r="J151" s="26" t="str">
        <x:v>PILOT ADDITION: fixed 10–80 assumption is insufficient.</x:v>
      </x:c>
    </x:row>
    <x:row r="152">
      <x:c r="A152" t="str">
        <x:v>05_EVIDENCE_FACTS</x:v>
      </x:c>
      <x:c r="B152" t="str">
        <x:v>battery_capacity_reported_kwh</x:v>
      </x:c>
      <x:c r="C152" t="str">
        <x:v>Battery capacity exactly as published when gross vs usable is unspecified.</x:v>
      </x:c>
      <x:c r="D152" t="str">
        <x:v>NUMBER</x:v>
      </x:c>
      <x:c r="E152" t="str">
        <x:v>SHOULD</x:v>
      </x:c>
      <x:c r="F152" t="str">
        <x:v>kWh</x:v>
      </x:c>
      <x:c r="G152" t="str">
        <x:v>POWERTRAIN</x:v>
      </x:c>
      <x:c r="H152" t="str">
        <x:v>Do not promote to gross/usable without explicit semantics</x:v>
      </x:c>
      <x:c r="I152" t="str">
        <x:v>58.3</x:v>
      </x:c>
      <x:c r="J152" t="str">
        <x:v>PILOT ADDITION.</x:v>
      </x:c>
    </x:row>
    <x:row r="153">
      <x:c r="A153" t="str">
        <x:v>05_EVIDENCE_FACTS</x:v>
      </x:c>
      <x:c r="B153" t="str">
        <x:v>value_min</x:v>
      </x:c>
      <x:c r="C153" t="str">
        <x:v>Lower bound when a source publishes a numeric range.</x:v>
      </x:c>
      <x:c r="D153" t="str">
        <x:v>NUMBER</x:v>
      </x:c>
      <x:c r="E153" t="str">
        <x:v>SHOULD</x:v>
      </x:c>
      <x:c r="F153"/>
      <x:c r="G153" t="str">
        <x:v>ANY</x:v>
      </x:c>
      <x:c r="H153" t="str">
        <x:v>Used only when range_semantics=MIN_MAX</x:v>
      </x:c>
      <x:c r="I153" t="str">
        <x:v>4.5</x:v>
      </x:c>
      <x:c r="J153" t="str">
        <x:v>PILOT PROMOTED TO CONTRACT.</x:v>
      </x:c>
    </x:row>
    <x:row r="154">
      <x:c r="A154" t="str">
        <x:v>05_EVIDENCE_FACTS</x:v>
      </x:c>
      <x:c r="B154" t="str">
        <x:v>value_max</x:v>
      </x:c>
      <x:c r="C154" t="str">
        <x:v>Upper bound when a source publishes a numeric range.</x:v>
      </x:c>
      <x:c r="D154" t="str">
        <x:v>NUMBER</x:v>
      </x:c>
      <x:c r="E154" t="str">
        <x:v>SHOULD</x:v>
      </x:c>
      <x:c r="F154"/>
      <x:c r="G154" t="str">
        <x:v>ANY</x:v>
      </x:c>
      <x:c r="H154" t="str">
        <x:v>Used only when range_semantics=MIN_MAX</x:v>
      </x:c>
      <x:c r="I154" t="str">
        <x:v>4.7</x:v>
      </x:c>
      <x:c r="J154" t="str">
        <x:v>PILOT PROMOTED TO CONTRACT.</x:v>
      </x:c>
    </x:row>
    <x:row r="155">
      <x:c r="A155" t="str">
        <x:v>05_EVIDENCE_FACTS</x:v>
      </x:c>
      <x:c r="B155" t="str">
        <x:v>range_semantics</x:v>
      </x:c>
      <x:c r="C155" t="str">
        <x:v>Meaning of min/max or multiple official values.</x:v>
      </x:c>
      <x:c r="D155" t="str">
        <x:v>ENUM</x:v>
      </x:c>
      <x:c r="E155" t="str">
        <x:v>MUST</x:v>
      </x:c>
      <x:c r="F155"/>
      <x:c r="G155" t="str">
        <x:v>ANY</x:v>
      </x:c>
      <x:c r="H155" t="str">
        <x:v>NONE / MIN_MAX / MULTIPLE_OFFICIAL_VALUES</x:v>
      </x:c>
      <x:c r="I155" t="str">
        <x:v>MIN_MAX</x:v>
      </x:c>
      <x:c r="J155" t="str">
        <x:v>PILOT PROMOTED TO CONTRACT.</x:v>
      </x:c>
    </x:row>
    <x:row r="156">
      <x:c r="A156" t="str">
        <x:v>05_EVIDENCE_FACTS</x:v>
      </x:c>
      <x:c r="B156" t="str">
        <x:v>source_value_semantics</x:v>
      </x:c>
      <x:c r="C156" t="str">
        <x:v>Preserves how the source itself characterizes the value.</x:v>
      </x:c>
      <x:c r="D156" t="str">
        <x:v>ENUM</x:v>
      </x:c>
      <x:c r="E156" t="str">
        <x:v>MUST</x:v>
      </x:c>
      <x:c r="F156"/>
      <x:c r="G156" t="str">
        <x:v>ANY</x:v>
      </x:c>
      <x:c r="H156" t="str">
        <x:v>EXACT_SCALAR / EXACT_RANGE / BATTERY_CAPACITY_UNQUALIFIED / CHARGE_TIME_WITH_SOC_CONTEXT / OFFICIAL_VALUES_CONFLICT</x:v>
      </x:c>
      <x:c r="I156" t="str">
        <x:v>EXACT_RANGE</x:v>
      </x:c>
      <x:c r="J156" t="str">
        <x:v>PILOT PROMOTED TO CONTRACT.</x:v>
      </x:c>
    </x:row>
    <x:row r="157">
      <x:c r="A157" t="str">
        <x:v>05_EVIDENCE_FACTS</x:v>
      </x:c>
      <x:c r="B157" t="str">
        <x:v>source_value_raw</x:v>
      </x:c>
      <x:c r="C157" t="str">
        <x:v>Exact source presentation retained for audit; runtime must use typed value/range fields.</x:v>
      </x:c>
      <x:c r="D157" t="str">
        <x:v>TEXT</x:v>
      </x:c>
      <x:c r="E157" t="str">
        <x:v>NICE_TO_HAVE</x:v>
      </x:c>
      <x:c r="F157"/>
      <x:c r="G157" t="str">
        <x:v>CONFIGURATION</x:v>
      </x:c>
      <x:c r="H157"/>
      <x:c r="I157" t="str">
        <x:v>4.5–4.7</x:v>
      </x:c>
      <x:c r="J157"/>
    </x:row>
    <x:row r="158">
      <x:c r="A158" t="str">
        <x:v>05_EVIDENCE_FACTS</x:v>
      </x:c>
      <x:c r="B158" t="str">
        <x:v>soc_start_pct</x:v>
      </x:c>
      <x:c r="C158" t="str">
        <x:v>Charging interval start state of charge.</x:v>
      </x:c>
      <x:c r="D158" t="str">
        <x:v>NUMBER</x:v>
      </x:c>
      <x:c r="E158" t="str">
        <x:v>SHOULD</x:v>
      </x:c>
      <x:c r="F158" t="str">
        <x:v>%</x:v>
      </x:c>
      <x:c r="G158" t="str">
        <x:v>POWERTRAIN</x:v>
      </x:c>
      <x:c r="H158" t="str">
        <x:v>0 &lt;= start &lt; end &lt;= 100</x:v>
      </x:c>
      <x:c r="I158" t="n">
        <x:v>10</x:v>
      </x:c>
      <x:c r="J158"/>
    </x:row>
    <x:row r="159">
      <x:c r="A159" t="str">
        <x:v>05_EVIDENCE_FACTS</x:v>
      </x:c>
      <x:c r="B159" t="str">
        <x:v>soc_end_pct</x:v>
      </x:c>
      <x:c r="C159" t="str">
        <x:v>Charging interval end state of charge.</x:v>
      </x:c>
      <x:c r="D159" t="str">
        <x:v>NUMBER</x:v>
      </x:c>
      <x:c r="E159" t="str">
        <x:v>SHOULD</x:v>
      </x:c>
      <x:c r="F159" t="str">
        <x:v>%</x:v>
      </x:c>
      <x:c r="G159" t="str">
        <x:v>POWERTRAIN</x:v>
      </x:c>
      <x:c r="H159" t="str">
        <x:v>0 &lt;= start &lt; end &lt;= 100</x:v>
      </x:c>
      <x:c r="I159" t="n">
        <x:v>80</x:v>
      </x:c>
      <x:c r="J159"/>
    </x:row>
    <x:row r="160">
      <x:c r="A160" t="str">
        <x:v>05_EVIDENCE_FACTS</x:v>
      </x:c>
      <x:c r="B160" t="str">
        <x:v>charge_power_context_kw</x:v>
      </x:c>
      <x:c r="C160" t="str">
        <x:v>Published charge-power context for the charge-time assertion.</x:v>
      </x:c>
      <x:c r="D160" t="str">
        <x:v>NUMBER</x:v>
      </x:c>
      <x:c r="E160" t="str">
        <x:v>SHOULD</x:v>
      </x:c>
      <x:c r="F160" t="str">
        <x:v>kW</x:v>
      </x:c>
      <x:c r="G160" t="str">
        <x:v>POWERTRAIN</x:v>
      </x:c>
      <x:c r="H160" t="str">
        <x:v>&gt; 0</x:v>
      </x:c>
      <x:c r="I160" t="n">
        <x:v>101</x:v>
      </x:c>
      <x:c r="J160"/>
    </x:row>
    <x:row r="161">
      <x:c r="A161" t="str">
        <x:v>08_SOURCES</x:v>
      </x:c>
      <x:c r="B161" t="str">
        <x:v>source_url_canonical</x:v>
      </x:c>
      <x:c r="C161" t="str">
        <x:v>Deterministically canonicalized document URL.</x:v>
      </x:c>
      <x:c r="D161" t="str">
        <x:v>URL</x:v>
      </x:c>
      <x:c r="E161" t="str">
        <x:v>SHOULD</x:v>
      </x:c>
      <x:c r="F161"/>
      <x:c r="G161" t="str">
        <x:v>MODEL</x:v>
      </x:c>
      <x:c r="H161"/>
      <x:c r="I161"/>
      <x:c r="J161"/>
    </x:row>
    <x:row r="162">
      <x:c r="A162" t="str">
        <x:v>08_SOURCES</x:v>
      </x:c>
      <x:c r="B162" t="str">
        <x:v>source_version_label</x:v>
      </x:c>
      <x:c r="C162" t="str">
        <x:v>Publisher/date version label when available.</x:v>
      </x:c>
      <x:c r="D162" t="str">
        <x:v>TEXT</x:v>
      </x:c>
      <x:c r="E162" t="str">
        <x:v>SHOULD</x:v>
      </x:c>
      <x:c r="F162"/>
      <x:c r="G162" t="str">
        <x:v>MODEL</x:v>
      </x:c>
      <x:c r="H162"/>
      <x:c r="I162"/>
      <x:c r="J162"/>
    </x:row>
    <x:row r="163">
      <x:c r="A163" t="str">
        <x:v>08_SOURCES</x:v>
      </x:c>
      <x:c r="B163" t="str">
        <x:v>source_observed_at</x:v>
      </x:c>
      <x:c r="C163" t="str">
        <x:v>Date content was observed for evidence extraction.</x:v>
      </x:c>
      <x:c r="D163" t="str">
        <x:v>DATE</x:v>
      </x:c>
      <x:c r="E163" t="str">
        <x:v>MUST</x:v>
      </x:c>
      <x:c r="F163"/>
      <x:c r="G163" t="str">
        <x:v>MODEL</x:v>
      </x:c>
      <x:c r="H163"/>
      <x:c r="I163"/>
      <x:c r="J163"/>
    </x:row>
    <x:row r="164">
      <x:c r="A164" t="str">
        <x:v>08_SOURCES</x:v>
      </x:c>
      <x:c r="B164" t="str">
        <x:v>source_content_hash</x:v>
      </x:c>
      <x:c r="C164" t="str">
        <x:v>SHA-256 of captured source content; blank when no capture exists.</x:v>
      </x:c>
      <x:c r="D164" t="str">
        <x:v>TEXT</x:v>
      </x:c>
      <x:c r="E164" t="str">
        <x:v>SHOULD</x:v>
      </x:c>
      <x:c r="F164"/>
      <x:c r="G164" t="str">
        <x:v>MODEL</x:v>
      </x:c>
      <x:c r="H164"/>
      <x:c r="I164"/>
      <x:c r="J164"/>
    </x:row>
    <x:row r="165">
      <x:c r="A165" t="str">
        <x:v>08_SOURCES</x:v>
      </x:c>
      <x:c r="B165" t="str">
        <x:v>source_snapshot_ref</x:v>
      </x:c>
      <x:c r="C165" t="str">
        <x:v>Repository/archive reference to immutable snapshot; blank when unavailable.</x:v>
      </x:c>
      <x:c r="D165" t="str">
        <x:v>TEXT</x:v>
      </x:c>
      <x:c r="E165" t="str">
        <x:v>SHOULD</x:v>
      </x:c>
      <x:c r="F165"/>
      <x:c r="G165" t="str">
        <x:v>MODEL</x:v>
      </x:c>
      <x:c r="H165"/>
      <x:c r="I165"/>
      <x:c r="J165"/>
    </x:row>
  </x:sheetData>
  <x:conditionalFormatting sqref="E2:E151">
    <x:cfRule type="expression" dxfId="0" priority="1">
      <x:formula>E2="MUST"</x:formula>
    </x:cfRule>
    <x:cfRule type="expression" dxfId="1" priority="2">
      <x:formula>E2="SHOULD"</x:formula>
    </x:cfRule>
    <x:cfRule type="expression" dxfId="2" priority="3">
      <x:formula>E2="NICE_TO_HAVE"</x:formula>
    </x:cfRule>
  </x:conditionalFormatting>
  <x:dataValidations count="4">
    <x:dataValidation type="list" sqref="D2:D2000">
      <x:formula1>'12_LISTS'!$B$163:$B$171</x:formula1>
    </x:dataValidation>
    <x:dataValidation type="list" sqref="E2:E2000">
      <x:formula1>'12_LISTS'!$B$156:$B$158</x:formula1>
    </x:dataValidation>
    <x:dataValidation type="list" sqref="G2:G2000">
      <x:formula1>'12_LISTS'!$B$159:$B$162</x:formula1>
    </x:dataValidation>
    <x:dataValidation type="list" sqref="E2:E500">
      <x:formula1>"MUST,CONDITIONAL_MUST,SHOULD,NICE_TO_HAVE"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ecc2ec026a4f5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4" max="14" width="20" hidden="0" customWidth="1"/>
    <x:col min="15" max="15" width="16" hidden="0" customWidth="1"/>
  </x:cols>
  <x:sheetData>
    <x:row r="1">
      <x:c r="A1" s="59" t="str">
        <x:v>configuration_id</x:v>
      </x:c>
      <x:c r="B1" s="59" t="str">
        <x:v>model</x:v>
      </x:c>
      <x:c r="C1" s="59" t="str">
        <x:v>identity_gate</x:v>
      </x:c>
      <x:c r="D1" s="59" t="str">
        <x:v>dimensions_gate</x:v>
      </x:c>
      <x:c r="E1" s="59" t="str">
        <x:v>cargo_gate</x:v>
      </x:c>
      <x:c r="F1" s="59" t="str">
        <x:v>ground_clearance_gate</x:v>
      </x:c>
      <x:c r="G1" s="59" t="str">
        <x:v>efficiency_range_gate</x:v>
      </x:c>
      <x:c r="H1" s="59" t="str">
        <x:v>equipment_gate</x:v>
      </x:c>
      <x:c r="I1" s="59" t="str">
        <x:v>tasks_complete</x:v>
      </x:c>
      <x:c r="J1" s="59" t="str">
        <x:v>tasks_blocked</x:v>
      </x:c>
      <x:c r="K1" s="59" t="str">
        <x:v>coverage_pct</x:v>
      </x:c>
      <x:c r="L1" s="59" t="str">
        <x:v>pilot_status</x:v>
      </x:c>
      <x:c r="N1" s="63" t="str">
        <x:v>Pilot Summary</x:v>
      </x:c>
      <x:c r="O1" s="63" t="str">
        <x:v>Value</x:v>
      </x:c>
    </x:row>
    <x:row r="2">
      <x:c r="A2" s="26" t="str">
        <x:v>CFG-000001</x:v>
      </x:c>
      <x:c r="B2" s="26" t="str">
        <x:v>Renault Clio</x:v>
      </x:c>
      <x:c r="C2" s="26" t="str">
        <x:f>IF(COUNTIFS(QueueTable[subject_id],$A2,QueueTable[fact_key],"identity_exact_configuration",QueueTable[result],"FOUND")&gt;0,"FOUND",IF(COUNTIFS(QueueTable[subject_id],$A2,QueueTable[fact_key],"identity_exact_configuration",QueueTable[result],"NOT_FOUND")&gt;0,"NOT_FOUND",IF(COUNTIFS(QueueTable[subject_id],$A2,QueueTable[fact_key],"identity_exact_configuration",QueueTable[result],"CONFLICT")&gt;0,"CONFLICT","OPEN")))</x:f>
        <x:v>FOUND</x:v>
      </x:c>
      <x:c r="D2" s="26" t="str">
        <x:f>IF(COUNTIFS(QueueTable[subject_id],$A2,QueueTable[fact_key],"dimensions_core",QueueTable[result],"FOUND")&gt;0,"FOUND",IF(COUNTIFS(QueueTable[subject_id],$A2,QueueTable[fact_key],"dimensions_core",QueueTable[result],"NOT_FOUND")&gt;0,"NOT_FOUND",IF(COUNTIFS(QueueTable[subject_id],$A2,QueueTable[fact_key],"dimensions_core",QueueTable[result],"CONFLICT")&gt;0,"CONFLICT","OPEN")))</x:f>
        <x:v>FOUND</x:v>
      </x:c>
      <x:c r="E2" s="26" t="str">
        <x:f>IF(COUNTIFS(QueueTable[subject_id],$A2,QueueTable[fact_key],"cargo_volume_l",QueueTable[result],"FOUND")&gt;0,"FOUND",IF(COUNTIFS(QueueTable[subject_id],$A2,QueueTable[fact_key],"cargo_volume_l",QueueTable[result],"NOT_FOUND")&gt;0,"NOT_FOUND",IF(COUNTIFS(QueueTable[subject_id],$A2,QueueTable[fact_key],"cargo_volume_l",QueueTable[result],"CONFLICT")&gt;0,"CONFLICT","OPEN")))</x:f>
        <x:v>FOUND</x:v>
      </x:c>
      <x:c r="F2" s="26" t="str">
        <x:f>IF(COUNTIFS(QueueTable[subject_id],$A2,QueueTable[fact_key],"ground_clearance_mm",QueueTable[result],"FOUND")&gt;0,"FOUND",IF(COUNTIFS(QueueTable[subject_id],$A2,QueueTable[fact_key],"ground_clearance_mm",QueueTable[result],"NOT_FOUND")&gt;0,"NOT_FOUND",IF(COUNTIFS(QueueTable[subject_id],$A2,QueueTable[fact_key],"ground_clearance_mm",QueueTable[result],"CONFLICT")&gt;0,"CONFLICT","OPEN")))</x:f>
        <x:v>FOUND</x:v>
      </x:c>
      <x:c r="G2" s="26" t="str">
        <x:f>IF(COUNTIFS(QueueTable[subject_id],$A2,QueueTable[fact_key],"efficiency_or_range_core",QueueTable[result],"FOUND")&gt;0,"FOUND",IF(COUNTIFS(QueueTable[subject_id],$A2,QueueTable[fact_key],"efficiency_or_range_core",QueueTable[result],"NOT_FOUND")&gt;0,"NOT_FOUND",IF(COUNTIFS(QueueTable[subject_id],$A2,QueueTable[fact_key],"efficiency_or_range_core",QueueTable[result],"CONFLICT")&gt;0,"CONFLICT","OPEN")))</x:f>
        <x:v>FOUND</x:v>
      </x:c>
      <x:c r="H2" s="26" t="str">
        <x:f>IF(COUNTIFS(QueueTable[subject_id],$A2,QueueTable[fact_key],"equipment_mvp_core",QueueTable[result],"FOUND")&gt;0,"FOUND",IF(COUNTIFS(QueueTable[subject_id],$A2,QueueTable[fact_key],"equipment_mvp_core",QueueTable[result],"NOT_FOUND")&gt;0,"NOT_FOUND",IF(COUNTIFS(QueueTable[subject_id],$A2,QueueTable[fact_key],"equipment_mvp_core",QueueTable[result],"CONFLICT")&gt;0,"CONFLICT","OPEN")))</x:f>
        <x:v>FOUND</x:v>
      </x:c>
      <x:c r="I2" s="26" t="n">
        <x:f>COUNTIFS(QueueTable[subject_id],$A2,QueueTable[collection_status],"COMPLETE")</x:f>
        <x:v>6</x:v>
      </x:c>
      <x:c r="J2" s="26" t="n">
        <x:f>COUNTIFS(QueueTable[subject_id],$A2,QueueTable[result],"NOT_FOUND")+COUNTIFS(QueueTable[subject_id],$A2,QueueTable[result],"CONFLICT")</x:f>
        <x:v>0</x:v>
      </x:c>
      <x:c r="K2" s="61" t="n">
        <x:f>COUNTIF(C2:H2,"FOUND")/6</x:f>
        <x:v>1</x:v>
      </x:c>
      <x:c r="L2" s="26" t="str">
        <x:f>IF(COUNTIF(C2:H2,"FOUND")=6,"PASS",IF(COUNTIF(C2:H2,"OPEN")&gt;0,"HOLD",IF(COUNTIF(C2:H2,"CONFLICT")&gt;0,"PASS WITH GAPS",IF(COUNTIF(C2:H2,"NOT_FOUND")&lt;=2,"PASS WITH GAPS","PASS WITH REDUCTION"))))</x:f>
        <x:v>PASS</x:v>
      </x:c>
      <x:c r="N2" t="str">
        <x:v>Configurations</x:v>
      </x:c>
      <x:c r="O2" t="n">
        <x:v>8</x:v>
      </x:c>
    </x:row>
    <x:row r="3">
      <x:c r="A3" s="26" t="str">
        <x:v>CFG-000002</x:v>
      </x:c>
      <x:c r="B3" s="26" t="str">
        <x:v>Fiat Egea Sedan</x:v>
      </x:c>
      <x:c r="C3" s="26" t="str">
        <x:f>IF(COUNTIFS(QueueTable[subject_id],$A3,QueueTable[fact_key],"identity_exact_configuration",QueueTable[result],"FOUND")&gt;0,"FOUND",IF(COUNTIFS(QueueTable[subject_id],$A3,QueueTable[fact_key],"identity_exact_configuration",QueueTable[result],"NOT_FOUND")&gt;0,"NOT_FOUND",IF(COUNTIFS(QueueTable[subject_id],$A3,QueueTable[fact_key],"identity_exact_configuration",QueueTable[result],"CONFLICT")&gt;0,"CONFLICT","OPEN")))</x:f>
        <x:v>FOUND</x:v>
      </x:c>
      <x:c r="D3" s="26" t="str">
        <x:f>IF(COUNTIFS(QueueTable[subject_id],$A3,QueueTable[fact_key],"dimensions_core",QueueTable[result],"FOUND")&gt;0,"FOUND",IF(COUNTIFS(QueueTable[subject_id],$A3,QueueTable[fact_key],"dimensions_core",QueueTable[result],"NOT_FOUND")&gt;0,"NOT_FOUND",IF(COUNTIFS(QueueTable[subject_id],$A3,QueueTable[fact_key],"dimensions_core",QueueTable[result],"CONFLICT")&gt;0,"CONFLICT","OPEN")))</x:f>
        <x:v>FOUND</x:v>
      </x:c>
      <x:c r="E3" s="26" t="str">
        <x:f>IF(COUNTIFS(QueueTable[subject_id],$A3,QueueTable[fact_key],"cargo_volume_l",QueueTable[result],"FOUND")&gt;0,"FOUND",IF(COUNTIFS(QueueTable[subject_id],$A3,QueueTable[fact_key],"cargo_volume_l",QueueTable[result],"NOT_FOUND")&gt;0,"NOT_FOUND",IF(COUNTIFS(QueueTable[subject_id],$A3,QueueTable[fact_key],"cargo_volume_l",QueueTable[result],"CONFLICT")&gt;0,"CONFLICT","OPEN")))</x:f>
        <x:v>FOUND</x:v>
      </x:c>
      <x:c r="F3" s="26" t="str">
        <x:f>IF(COUNTIFS(QueueTable[subject_id],$A3,QueueTable[fact_key],"ground_clearance_mm",QueueTable[result],"FOUND")&gt;0,"FOUND",IF(COUNTIFS(QueueTable[subject_id],$A3,QueueTable[fact_key],"ground_clearance_mm",QueueTable[result],"NOT_FOUND")&gt;0,"NOT_FOUND",IF(COUNTIFS(QueueTable[subject_id],$A3,QueueTable[fact_key],"ground_clearance_mm",QueueTable[result],"CONFLICT")&gt;0,"CONFLICT","OPEN")))</x:f>
        <x:v>NOT_FOUND</x:v>
      </x:c>
      <x:c r="G3" s="26" t="str">
        <x:f>IF(COUNTIFS(QueueTable[subject_id],$A3,QueueTable[fact_key],"efficiency_or_range_core",QueueTable[result],"FOUND")&gt;0,"FOUND",IF(COUNTIFS(QueueTable[subject_id],$A3,QueueTable[fact_key],"efficiency_or_range_core",QueueTable[result],"NOT_FOUND")&gt;0,"NOT_FOUND",IF(COUNTIFS(QueueTable[subject_id],$A3,QueueTable[fact_key],"efficiency_or_range_core",QueueTable[result],"CONFLICT")&gt;0,"CONFLICT","OPEN")))</x:f>
        <x:v>NOT_FOUND</x:v>
      </x:c>
      <x:c r="H3" s="26" t="str">
        <x:f>IF(COUNTIFS(QueueTable[subject_id],$A3,QueueTable[fact_key],"equipment_mvp_core",QueueTable[result],"FOUND")&gt;0,"FOUND",IF(COUNTIFS(QueueTable[subject_id],$A3,QueueTable[fact_key],"equipment_mvp_core",QueueTable[result],"NOT_FOUND")&gt;0,"NOT_FOUND",IF(COUNTIFS(QueueTable[subject_id],$A3,QueueTable[fact_key],"equipment_mvp_core",QueueTable[result],"CONFLICT")&gt;0,"CONFLICT","OPEN")))</x:f>
        <x:v>FOUND</x:v>
      </x:c>
      <x:c r="I3" s="26" t="n">
        <x:f>COUNTIFS(QueueTable[subject_id],$A3,QueueTable[collection_status],"COMPLETE")</x:f>
        <x:v>6</x:v>
      </x:c>
      <x:c r="J3" s="26" t="n">
        <x:f>COUNTIFS(QueueTable[subject_id],$A3,QueueTable[result],"NOT_FOUND")+COUNTIFS(QueueTable[subject_id],$A3,QueueTable[result],"CONFLICT")</x:f>
        <x:v>2</x:v>
      </x:c>
      <x:c r="K3" s="61" t="n">
        <x:f>COUNTIF(C3:H3,"FOUND")/6</x:f>
        <x:v>0.6666666666666666</x:v>
      </x:c>
      <x:c r="L3" s="26" t="str">
        <x:f>IF(COUNTIF(C3:H3,"FOUND")=6,"PASS",IF(COUNTIF(C3:H3,"OPEN")&gt;0,"HOLD",IF(COUNTIF(C3:H3,"CONFLICT")&gt;0,"PASS WITH GAPS",IF(COUNTIF(C3:H3,"NOT_FOUND")&lt;=2,"PASS WITH GAPS","PASS WITH REDUCTION"))))</x:f>
        <x:v>PASS WITH GAPS</x:v>
      </x:c>
      <x:c r="N3" t="str">
        <x:v>Total P0 tasks</x:v>
      </x:c>
      <x:c r="O3" t="n">
        <x:f>ROWS(QueueTable[queue_id])</x:f>
        <x:v>48</x:v>
      </x:c>
    </x:row>
    <x:row r="4">
      <x:c r="A4" s="26" t="str">
        <x:v>CFG-000003</x:v>
      </x:c>
      <x:c r="B4" s="26" t="str">
        <x:v>Toyota Corolla Sedan</x:v>
      </x:c>
      <x:c r="C4" s="26" t="str">
        <x:f>IF(COUNTIFS(QueueTable[subject_id],$A4,QueueTable[fact_key],"identity_exact_configuration",QueueTable[result],"FOUND")&gt;0,"FOUND",IF(COUNTIFS(QueueTable[subject_id],$A4,QueueTable[fact_key],"identity_exact_configuration",QueueTable[result],"NOT_FOUND")&gt;0,"NOT_FOUND",IF(COUNTIFS(QueueTable[subject_id],$A4,QueueTable[fact_key],"identity_exact_configuration",QueueTable[result],"CONFLICT")&gt;0,"CONFLICT","OPEN")))</x:f>
        <x:v>FOUND</x:v>
      </x:c>
      <x:c r="D4" s="26" t="str">
        <x:f>IF(COUNTIFS(QueueTable[subject_id],$A4,QueueTable[fact_key],"dimensions_core",QueueTable[result],"FOUND")&gt;0,"FOUND",IF(COUNTIFS(QueueTable[subject_id],$A4,QueueTable[fact_key],"dimensions_core",QueueTable[result],"NOT_FOUND")&gt;0,"NOT_FOUND",IF(COUNTIFS(QueueTable[subject_id],$A4,QueueTable[fact_key],"dimensions_core",QueueTable[result],"CONFLICT")&gt;0,"CONFLICT","OPEN")))</x:f>
        <x:v>FOUND</x:v>
      </x:c>
      <x:c r="E4" s="26" t="str">
        <x:f>IF(COUNTIFS(QueueTable[subject_id],$A4,QueueTable[fact_key],"cargo_volume_l",QueueTable[result],"FOUND")&gt;0,"FOUND",IF(COUNTIFS(QueueTable[subject_id],$A4,QueueTable[fact_key],"cargo_volume_l",QueueTable[result],"NOT_FOUND")&gt;0,"NOT_FOUND",IF(COUNTIFS(QueueTable[subject_id],$A4,QueueTable[fact_key],"cargo_volume_l",QueueTable[result],"CONFLICT")&gt;0,"CONFLICT","OPEN")))</x:f>
        <x:v>FOUND</x:v>
      </x:c>
      <x:c r="F4" s="26" t="str">
        <x:f>IF(COUNTIFS(QueueTable[subject_id],$A4,QueueTable[fact_key],"ground_clearance_mm",QueueTable[result],"FOUND")&gt;0,"FOUND",IF(COUNTIFS(QueueTable[subject_id],$A4,QueueTable[fact_key],"ground_clearance_mm",QueueTable[result],"NOT_FOUND")&gt;0,"NOT_FOUND",IF(COUNTIFS(QueueTable[subject_id],$A4,QueueTable[fact_key],"ground_clearance_mm",QueueTable[result],"CONFLICT")&gt;0,"CONFLICT","OPEN")))</x:f>
        <x:v>NOT_FOUND</x:v>
      </x:c>
      <x:c r="G4" s="26" t="str">
        <x:f>IF(COUNTIFS(QueueTable[subject_id],$A4,QueueTable[fact_key],"efficiency_or_range_core",QueueTable[result],"FOUND")&gt;0,"FOUND",IF(COUNTIFS(QueueTable[subject_id],$A4,QueueTable[fact_key],"efficiency_or_range_core",QueueTable[result],"NOT_FOUND")&gt;0,"NOT_FOUND",IF(COUNTIFS(QueueTable[subject_id],$A4,QueueTable[fact_key],"efficiency_or_range_core",QueueTable[result],"CONFLICT")&gt;0,"CONFLICT","OPEN")))</x:f>
        <x:v>FOUND</x:v>
      </x:c>
      <x:c r="H4" s="26" t="str">
        <x:f>IF(COUNTIFS(QueueTable[subject_id],$A4,QueueTable[fact_key],"equipment_mvp_core",QueueTable[result],"FOUND")&gt;0,"FOUND",IF(COUNTIFS(QueueTable[subject_id],$A4,QueueTable[fact_key],"equipment_mvp_core",QueueTable[result],"NOT_FOUND")&gt;0,"NOT_FOUND",IF(COUNTIFS(QueueTable[subject_id],$A4,QueueTable[fact_key],"equipment_mvp_core",QueueTable[result],"CONFLICT")&gt;0,"CONFLICT","OPEN")))</x:f>
        <x:v>FOUND</x:v>
      </x:c>
      <x:c r="I4" s="26" t="n">
        <x:f>COUNTIFS(QueueTable[subject_id],$A4,QueueTable[collection_status],"COMPLETE")</x:f>
        <x:v>6</x:v>
      </x:c>
      <x:c r="J4" s="26" t="n">
        <x:f>COUNTIFS(QueueTable[subject_id],$A4,QueueTable[result],"NOT_FOUND")+COUNTIFS(QueueTable[subject_id],$A4,QueueTable[result],"CONFLICT")</x:f>
        <x:v>1</x:v>
      </x:c>
      <x:c r="K4" s="61" t="n">
        <x:f>COUNTIF(C4:H4,"FOUND")/6</x:f>
        <x:v>0.8333333333333334</x:v>
      </x:c>
      <x:c r="L4" s="26" t="str">
        <x:f>IF(COUNTIF(C4:H4,"FOUND")=6,"PASS",IF(COUNTIF(C4:H4,"OPEN")&gt;0,"HOLD",IF(COUNTIF(C4:H4,"CONFLICT")&gt;0,"PASS WITH GAPS",IF(COUNTIF(C4:H4,"NOT_FOUND")&lt;=2,"PASS WITH GAPS","PASS WITH REDUCTION"))))</x:f>
        <x:v>PASS WITH GAPS</x:v>
      </x:c>
      <x:c r="N4" t="str">
        <x:v>Collection complete</x:v>
      </x:c>
      <x:c r="O4" t="n">
        <x:f>COUNTIF(QueueTable[collection_status],"COMPLETE")</x:f>
        <x:v>47</x:v>
      </x:c>
    </x:row>
    <x:row r="5">
      <x:c r="A5" s="26" t="str">
        <x:v>CFG-000004</x:v>
      </x:c>
      <x:c r="B5" s="26" t="str">
        <x:v>Suzuki Vitara</x:v>
      </x:c>
      <x:c r="C5" s="26" t="str">
        <x:f>IF(COUNTIFS(QueueTable[subject_id],$A5,QueueTable[fact_key],"identity_exact_configuration",QueueTable[result],"FOUND")&gt;0,"FOUND",IF(COUNTIFS(QueueTable[subject_id],$A5,QueueTable[fact_key],"identity_exact_configuration",QueueTable[result],"NOT_FOUND")&gt;0,"NOT_FOUND",IF(COUNTIFS(QueueTable[subject_id],$A5,QueueTable[fact_key],"identity_exact_configuration",QueueTable[result],"CONFLICT")&gt;0,"CONFLICT","OPEN")))</x:f>
        <x:v>FOUND</x:v>
      </x:c>
      <x:c r="D5" s="26" t="str">
        <x:f>IF(COUNTIFS(QueueTable[subject_id],$A5,QueueTable[fact_key],"dimensions_core",QueueTable[result],"FOUND")&gt;0,"FOUND",IF(COUNTIFS(QueueTable[subject_id],$A5,QueueTable[fact_key],"dimensions_core",QueueTable[result],"NOT_FOUND")&gt;0,"NOT_FOUND",IF(COUNTIFS(QueueTable[subject_id],$A5,QueueTable[fact_key],"dimensions_core",QueueTable[result],"CONFLICT")&gt;0,"CONFLICT","OPEN")))</x:f>
        <x:v>FOUND</x:v>
      </x:c>
      <x:c r="E5" s="26" t="str">
        <x:f>IF(COUNTIFS(QueueTable[subject_id],$A5,QueueTable[fact_key],"cargo_volume_l",QueueTable[result],"FOUND")&gt;0,"FOUND",IF(COUNTIFS(QueueTable[subject_id],$A5,QueueTable[fact_key],"cargo_volume_l",QueueTable[result],"NOT_FOUND")&gt;0,"NOT_FOUND",IF(COUNTIFS(QueueTable[subject_id],$A5,QueueTable[fact_key],"cargo_volume_l",QueueTable[result],"CONFLICT")&gt;0,"CONFLICT","OPEN")))</x:f>
        <x:v>FOUND</x:v>
      </x:c>
      <x:c r="F5" s="26" t="str">
        <x:f>IF(COUNTIFS(QueueTable[subject_id],$A5,QueueTable[fact_key],"ground_clearance_mm",QueueTable[result],"FOUND")&gt;0,"FOUND",IF(COUNTIFS(QueueTable[subject_id],$A5,QueueTable[fact_key],"ground_clearance_mm",QueueTable[result],"NOT_FOUND")&gt;0,"NOT_FOUND",IF(COUNTIFS(QueueTable[subject_id],$A5,QueueTable[fact_key],"ground_clearance_mm",QueueTable[result],"CONFLICT")&gt;0,"CONFLICT","OPEN")))</x:f>
        <x:v>FOUND</x:v>
      </x:c>
      <x:c r="G5" s="26" t="str">
        <x:f>IF(COUNTIFS(QueueTable[subject_id],$A5,QueueTable[fact_key],"efficiency_or_range_core",QueueTable[result],"FOUND")&gt;0,"FOUND",IF(COUNTIFS(QueueTable[subject_id],$A5,QueueTable[fact_key],"efficiency_or_range_core",QueueTable[result],"NOT_FOUND")&gt;0,"NOT_FOUND",IF(COUNTIFS(QueueTable[subject_id],$A5,QueueTable[fact_key],"efficiency_or_range_core",QueueTable[result],"CONFLICT")&gt;0,"CONFLICT","OPEN")))</x:f>
        <x:v>FOUND</x:v>
      </x:c>
      <x:c r="H5" s="26" t="str">
        <x:f>IF(COUNTIFS(QueueTable[subject_id],$A5,QueueTable[fact_key],"equipment_mvp_core",QueueTable[result],"FOUND")&gt;0,"FOUND",IF(COUNTIFS(QueueTable[subject_id],$A5,QueueTable[fact_key],"equipment_mvp_core",QueueTable[result],"NOT_FOUND")&gt;0,"NOT_FOUND",IF(COUNTIFS(QueueTable[subject_id],$A5,QueueTable[fact_key],"equipment_mvp_core",QueueTable[result],"CONFLICT")&gt;0,"CONFLICT","OPEN")))</x:f>
        <x:v>FOUND</x:v>
      </x:c>
      <x:c r="I5" s="26" t="n">
        <x:f>COUNTIFS(QueueTable[subject_id],$A5,QueueTable[collection_status],"COMPLETE")</x:f>
        <x:v>6</x:v>
      </x:c>
      <x:c r="J5" s="26" t="n">
        <x:f>COUNTIFS(QueueTable[subject_id],$A5,QueueTable[result],"NOT_FOUND")+COUNTIFS(QueueTable[subject_id],$A5,QueueTable[result],"CONFLICT")</x:f>
        <x:v>0</x:v>
      </x:c>
      <x:c r="K5" s="61" t="n">
        <x:f>COUNTIF(C5:H5,"FOUND")/6</x:f>
        <x:v>1</x:v>
      </x:c>
      <x:c r="L5" s="26" t="str">
        <x:f>IF(COUNTIF(C5:H5,"FOUND")=6,"PASS",IF(COUNTIF(C5:H5,"OPEN")&gt;0,"HOLD",IF(COUNTIF(C5:H5,"CONFLICT")&gt;0,"PASS WITH GAPS",IF(COUNTIF(C5:H5,"NOT_FOUND")&lt;=2,"PASS WITH GAPS","PASS WITH REDUCTION"))))</x:f>
        <x:v>PASS</x:v>
      </x:c>
      <x:c r="N5" t="str">
        <x:v>Evidence FOUND</x:v>
      </x:c>
      <x:c r="O5" t="n">
        <x:f>COUNTIF(QueueTable[result],"FOUND")</x:f>
        <x:v>41</x:v>
      </x:c>
    </x:row>
    <x:row r="6">
      <x:c r="A6" s="26" t="str">
        <x:v>CFG-000005</x:v>
      </x:c>
      <x:c r="B6" s="26" t="str">
        <x:v>BYD SEAL U DM-i</x:v>
      </x:c>
      <x:c r="C6" s="26" t="str">
        <x:f>IF(COUNTIFS(QueueTable[subject_id],$A6,QueueTable[fact_key],"identity_exact_configuration",QueueTable[result],"FOUND")&gt;0,"FOUND",IF(COUNTIFS(QueueTable[subject_id],$A6,QueueTable[fact_key],"identity_exact_configuration",QueueTable[result],"NOT_FOUND")&gt;0,"NOT_FOUND",IF(COUNTIFS(QueueTable[subject_id],$A6,QueueTable[fact_key],"identity_exact_configuration",QueueTable[result],"CONFLICT")&gt;0,"CONFLICT","OPEN")))</x:f>
        <x:v>FOUND</x:v>
      </x:c>
      <x:c r="D6" s="26" t="str">
        <x:f>IF(COUNTIFS(QueueTable[subject_id],$A6,QueueTable[fact_key],"dimensions_core",QueueTable[result],"FOUND")&gt;0,"FOUND",IF(COUNTIFS(QueueTable[subject_id],$A6,QueueTable[fact_key],"dimensions_core",QueueTable[result],"NOT_FOUND")&gt;0,"NOT_FOUND",IF(COUNTIFS(QueueTable[subject_id],$A6,QueueTable[fact_key],"dimensions_core",QueueTable[result],"CONFLICT")&gt;0,"CONFLICT","OPEN")))</x:f>
        <x:v>FOUND</x:v>
      </x:c>
      <x:c r="E6" s="26" t="str">
        <x:f>IF(COUNTIFS(QueueTable[subject_id],$A6,QueueTable[fact_key],"cargo_volume_l",QueueTable[result],"FOUND")&gt;0,"FOUND",IF(COUNTIFS(QueueTable[subject_id],$A6,QueueTable[fact_key],"cargo_volume_l",QueueTable[result],"NOT_FOUND")&gt;0,"NOT_FOUND",IF(COUNTIFS(QueueTable[subject_id],$A6,QueueTable[fact_key],"cargo_volume_l",QueueTable[result],"CONFLICT")&gt;0,"CONFLICT","OPEN")))</x:f>
        <x:v>FOUND</x:v>
      </x:c>
      <x:c r="F6" s="26" t="str">
        <x:f>IF(COUNTIFS(QueueTable[subject_id],$A6,QueueTable[fact_key],"ground_clearance_mm",QueueTable[result],"FOUND")&gt;0,"FOUND",IF(COUNTIFS(QueueTable[subject_id],$A6,QueueTable[fact_key],"ground_clearance_mm",QueueTable[result],"NOT_FOUND")&gt;0,"NOT_FOUND",IF(COUNTIFS(QueueTable[subject_id],$A6,QueueTable[fact_key],"ground_clearance_mm",QueueTable[result],"CONFLICT")&gt;0,"CONFLICT","OPEN")))</x:f>
        <x:v>NOT_FOUND</x:v>
      </x:c>
      <x:c r="G6" s="26" t="str">
        <x:f>IF(COUNTIFS(QueueTable[subject_id],$A6,QueueTable[fact_key],"efficiency_or_range_core",QueueTable[result],"FOUND")&gt;0,"FOUND",IF(COUNTIFS(QueueTable[subject_id],$A6,QueueTable[fact_key],"efficiency_or_range_core",QueueTable[result],"NOT_FOUND")&gt;0,"NOT_FOUND",IF(COUNTIFS(QueueTable[subject_id],$A6,QueueTable[fact_key],"efficiency_or_range_core",QueueTable[result],"CONFLICT")&gt;0,"CONFLICT","OPEN")))</x:f>
        <x:v>FOUND</x:v>
      </x:c>
      <x:c r="H6" s="26" t="str">
        <x:f>IF(COUNTIFS(QueueTable[subject_id],$A6,QueueTable[fact_key],"equipment_mvp_core",QueueTable[result],"FOUND")&gt;0,"FOUND",IF(COUNTIFS(QueueTable[subject_id],$A6,QueueTable[fact_key],"equipment_mvp_core",QueueTable[result],"NOT_FOUND")&gt;0,"NOT_FOUND",IF(COUNTIFS(QueueTable[subject_id],$A6,QueueTable[fact_key],"equipment_mvp_core",QueueTable[result],"CONFLICT")&gt;0,"CONFLICT","OPEN")))</x:f>
        <x:v>FOUND</x:v>
      </x:c>
      <x:c r="I6" s="26" t="n">
        <x:f>COUNTIFS(QueueTable[subject_id],$A6,QueueTable[collection_status],"COMPLETE")</x:f>
        <x:v>6</x:v>
      </x:c>
      <x:c r="J6" s="26" t="n">
        <x:f>COUNTIFS(QueueTable[subject_id],$A6,QueueTable[result],"NOT_FOUND")+COUNTIFS(QueueTable[subject_id],$A6,QueueTable[result],"CONFLICT")</x:f>
        <x:v>1</x:v>
      </x:c>
      <x:c r="K6" s="61" t="n">
        <x:f>COUNTIF(C6:H6,"FOUND")/6</x:f>
        <x:v>0.8333333333333334</x:v>
      </x:c>
      <x:c r="L6" s="26" t="str">
        <x:f>IF(COUNTIF(C6:H6,"FOUND")=6,"PASS",IF(COUNTIF(C6:H6,"OPEN")&gt;0,"HOLD",IF(COUNTIF(C6:H6,"CONFLICT")&gt;0,"PASS WITH GAPS",IF(COUNTIF(C6:H6,"NOT_FOUND")&lt;=2,"PASS WITH GAPS","PASS WITH REDUCTION"))))</x:f>
        <x:v>PASS WITH GAPS</x:v>
      </x:c>
      <x:c r="N6" t="str">
        <x:v>NOT_FOUND</x:v>
      </x:c>
      <x:c r="O6" t="n">
        <x:f>COUNTIF(QueueTable[result],"NOT_FOUND")</x:f>
        <x:v>6</x:v>
      </x:c>
    </x:row>
    <x:row r="7">
      <x:c r="A7" s="26" t="str">
        <x:v>CFG-000006</x:v>
      </x:c>
      <x:c r="B7" s="26" t="str">
        <x:v>Kia EV3</x:v>
      </x:c>
      <x:c r="C7" s="26" t="str">
        <x:f>IF(COUNTIFS(QueueTable[subject_id],$A7,QueueTable[fact_key],"identity_exact_configuration",QueueTable[result],"FOUND")&gt;0,"FOUND",IF(COUNTIFS(QueueTable[subject_id],$A7,QueueTable[fact_key],"identity_exact_configuration",QueueTable[result],"NOT_FOUND")&gt;0,"NOT_FOUND",IF(COUNTIFS(QueueTable[subject_id],$A7,QueueTable[fact_key],"identity_exact_configuration",QueueTable[result],"CONFLICT")&gt;0,"CONFLICT","OPEN")))</x:f>
        <x:v>FOUND</x:v>
      </x:c>
      <x:c r="D7" s="26" t="str">
        <x:f>IF(COUNTIFS(QueueTable[subject_id],$A7,QueueTable[fact_key],"dimensions_core",QueueTable[result],"FOUND")&gt;0,"FOUND",IF(COUNTIFS(QueueTable[subject_id],$A7,QueueTable[fact_key],"dimensions_core",QueueTable[result],"NOT_FOUND")&gt;0,"NOT_FOUND",IF(COUNTIFS(QueueTable[subject_id],$A7,QueueTable[fact_key],"dimensions_core",QueueTable[result],"CONFLICT")&gt;0,"CONFLICT","OPEN")))</x:f>
        <x:v>FOUND</x:v>
      </x:c>
      <x:c r="E7" s="26" t="str">
        <x:f>IF(COUNTIFS(QueueTable[subject_id],$A7,QueueTable[fact_key],"cargo_volume_l",QueueTable[result],"FOUND")&gt;0,"FOUND",IF(COUNTIFS(QueueTable[subject_id],$A7,QueueTable[fact_key],"cargo_volume_l",QueueTable[result],"NOT_FOUND")&gt;0,"NOT_FOUND",IF(COUNTIFS(QueueTable[subject_id],$A7,QueueTable[fact_key],"cargo_volume_l",QueueTable[result],"CONFLICT")&gt;0,"CONFLICT","OPEN")))</x:f>
        <x:v>FOUND</x:v>
      </x:c>
      <x:c r="F7" s="26" t="str">
        <x:f>IF(COUNTIFS(QueueTable[subject_id],$A7,QueueTable[fact_key],"ground_clearance_mm",QueueTable[result],"FOUND")&gt;0,"FOUND",IF(COUNTIFS(QueueTable[subject_id],$A7,QueueTable[fact_key],"ground_clearance_mm",QueueTable[result],"NOT_FOUND")&gt;0,"NOT_FOUND",IF(COUNTIFS(QueueTable[subject_id],$A7,QueueTable[fact_key],"ground_clearance_mm",QueueTable[result],"CONFLICT")&gt;0,"CONFLICT","OPEN")))</x:f>
        <x:v>FOUND</x:v>
      </x:c>
      <x:c r="G7" s="26" t="str">
        <x:f>IF(COUNTIFS(QueueTable[subject_id],$A7,QueueTable[fact_key],"efficiency_or_range_core",QueueTable[result],"FOUND")&gt;0,"FOUND",IF(COUNTIFS(QueueTable[subject_id],$A7,QueueTable[fact_key],"efficiency_or_range_core",QueueTable[result],"NOT_FOUND")&gt;0,"NOT_FOUND",IF(COUNTIFS(QueueTable[subject_id],$A7,QueueTable[fact_key],"efficiency_or_range_core",QueueTable[result],"CONFLICT")&gt;0,"CONFLICT","OPEN")))</x:f>
        <x:v>FOUND</x:v>
      </x:c>
      <x:c r="H7" s="26" t="str">
        <x:f>IF(COUNTIFS(QueueTable[subject_id],$A7,QueueTable[fact_key],"equipment_mvp_core",QueueTable[result],"FOUND")&gt;0,"FOUND",IF(COUNTIFS(QueueTable[subject_id],$A7,QueueTable[fact_key],"equipment_mvp_core",QueueTable[result],"NOT_FOUND")&gt;0,"NOT_FOUND",IF(COUNTIFS(QueueTable[subject_id],$A7,QueueTable[fact_key],"equipment_mvp_core",QueueTable[result],"CONFLICT")&gt;0,"CONFLICT","OPEN")))</x:f>
        <x:v>FOUND</x:v>
      </x:c>
      <x:c r="I7" s="26" t="n">
        <x:f>COUNTIFS(QueueTable[subject_id],$A7,QueueTable[collection_status],"COMPLETE")</x:f>
        <x:v>6</x:v>
      </x:c>
      <x:c r="J7" s="26" t="n">
        <x:f>COUNTIFS(QueueTable[subject_id],$A7,QueueTable[result],"NOT_FOUND")+COUNTIFS(QueueTable[subject_id],$A7,QueueTable[result],"CONFLICT")</x:f>
        <x:v>0</x:v>
      </x:c>
      <x:c r="K7" s="61" t="n">
        <x:f>COUNTIF(C7:H7,"FOUND")/6</x:f>
        <x:v>1</x:v>
      </x:c>
      <x:c r="L7" s="26" t="str">
        <x:f>IF(COUNTIF(C7:H7,"FOUND")=6,"PASS",IF(COUNTIF(C7:H7,"OPEN")&gt;0,"HOLD",IF(COUNTIF(C7:H7,"CONFLICT")&gt;0,"PASS WITH GAPS",IF(COUNTIF(C7:H7,"NOT_FOUND")&lt;=2,"PASS WITH GAPS","PASS WITH REDUCTION"))))</x:f>
        <x:v>PASS</x:v>
      </x:c>
      <x:c r="N7" t="str">
        <x:v>CONFLICT</x:v>
      </x:c>
      <x:c r="O7" t="n">
        <x:f>COUNTIF(QueueTable[result],"CONFLICT")</x:f>
        <x:v>0</x:v>
      </x:c>
    </x:row>
    <x:row r="8">
      <x:c r="A8" s="26" t="str">
        <x:v>CFG-000007</x:v>
      </x:c>
      <x:c r="B8" s="26" t="str">
        <x:v>Togg T10X</x:v>
      </x:c>
      <x:c r="C8" s="26" t="str">
        <x:f>IF(COUNTIFS(QueueTable[subject_id],$A8,QueueTable[fact_key],"identity_exact_configuration",QueueTable[result],"FOUND")&gt;0,"FOUND",IF(COUNTIFS(QueueTable[subject_id],$A8,QueueTable[fact_key],"identity_exact_configuration",QueueTable[result],"NOT_FOUND")&gt;0,"NOT_FOUND",IF(COUNTIFS(QueueTable[subject_id],$A8,QueueTable[fact_key],"identity_exact_configuration",QueueTable[result],"CONFLICT")&gt;0,"CONFLICT","OPEN")))</x:f>
        <x:v>OPEN</x:v>
      </x:c>
      <x:c r="D8" s="26" t="str">
        <x:f>IF(COUNTIFS(QueueTable[subject_id],$A8,QueueTable[fact_key],"dimensions_core",QueueTable[result],"FOUND")&gt;0,"FOUND",IF(COUNTIFS(QueueTable[subject_id],$A8,QueueTable[fact_key],"dimensions_core",QueueTable[result],"NOT_FOUND")&gt;0,"NOT_FOUND",IF(COUNTIFS(QueueTable[subject_id],$A8,QueueTable[fact_key],"dimensions_core",QueueTable[result],"CONFLICT")&gt;0,"CONFLICT","OPEN")))</x:f>
        <x:v>NOT_FOUND</x:v>
      </x:c>
      <x:c r="E8" s="26" t="str">
        <x:f>IF(COUNTIFS(QueueTable[subject_id],$A8,QueueTable[fact_key],"cargo_volume_l",QueueTable[result],"FOUND")&gt;0,"FOUND",IF(COUNTIFS(QueueTable[subject_id],$A8,QueueTable[fact_key],"cargo_volume_l",QueueTable[result],"NOT_FOUND")&gt;0,"NOT_FOUND",IF(COUNTIFS(QueueTable[subject_id],$A8,QueueTable[fact_key],"cargo_volume_l",QueueTable[result],"CONFLICT")&gt;0,"CONFLICT","OPEN")))</x:f>
        <x:v>FOUND</x:v>
      </x:c>
      <x:c r="F8" s="26" t="str">
        <x:f>IF(COUNTIFS(QueueTable[subject_id],$A8,QueueTable[fact_key],"ground_clearance_mm",QueueTable[result],"FOUND")&gt;0,"FOUND",IF(COUNTIFS(QueueTable[subject_id],$A8,QueueTable[fact_key],"ground_clearance_mm",QueueTable[result],"NOT_FOUND")&gt;0,"NOT_FOUND",IF(COUNTIFS(QueueTable[subject_id],$A8,QueueTable[fact_key],"ground_clearance_mm",QueueTable[result],"CONFLICT")&gt;0,"CONFLICT","OPEN")))</x:f>
        <x:v>NOT_FOUND</x:v>
      </x:c>
      <x:c r="G8" s="26" t="str">
        <x:f>IF(COUNTIFS(QueueTable[subject_id],$A8,QueueTable[fact_key],"efficiency_or_range_core",QueueTable[result],"FOUND")&gt;0,"FOUND",IF(COUNTIFS(QueueTable[subject_id],$A8,QueueTable[fact_key],"efficiency_or_range_core",QueueTable[result],"NOT_FOUND")&gt;0,"NOT_FOUND",IF(COUNTIFS(QueueTable[subject_id],$A8,QueueTable[fact_key],"efficiency_or_range_core",QueueTable[result],"CONFLICT")&gt;0,"CONFLICT","OPEN")))</x:f>
        <x:v>FOUND</x:v>
      </x:c>
      <x:c r="H8" s="26" t="str">
        <x:f>IF(COUNTIFS(QueueTable[subject_id],$A8,QueueTable[fact_key],"equipment_mvp_core",QueueTable[result],"FOUND")&gt;0,"FOUND",IF(COUNTIFS(QueueTable[subject_id],$A8,QueueTable[fact_key],"equipment_mvp_core",QueueTable[result],"NOT_FOUND")&gt;0,"NOT_FOUND",IF(COUNTIFS(QueueTable[subject_id],$A8,QueueTable[fact_key],"equipment_mvp_core",QueueTable[result],"CONFLICT")&gt;0,"CONFLICT","OPEN")))</x:f>
        <x:v>FOUND</x:v>
      </x:c>
      <x:c r="I8" s="26" t="n">
        <x:f>COUNTIFS(QueueTable[subject_id],$A8,QueueTable[collection_status],"COMPLETE")</x:f>
        <x:v>5</x:v>
      </x:c>
      <x:c r="J8" s="26" t="n">
        <x:f>COUNTIFS(QueueTable[subject_id],$A8,QueueTable[result],"NOT_FOUND")+COUNTIFS(QueueTable[subject_id],$A8,QueueTable[result],"CONFLICT")</x:f>
        <x:v>2</x:v>
      </x:c>
      <x:c r="K8" s="61" t="n">
        <x:f>COUNTIF(C8:H8,"FOUND")/6</x:f>
        <x:v>0.5</x:v>
      </x:c>
      <x:c r="L8" s="26" t="str">
        <x:f>IF(COUNTIF(C8:H8,"FOUND")=6,"PASS",IF(COUNTIF(C8:H8,"OPEN")&gt;0,"HOLD",IF(COUNTIF(C8:H8,"CONFLICT")&gt;0,"PASS WITH GAPS",IF(COUNTIF(C8:H8,"NOT_FOUND")&lt;=2,"PASS WITH GAPS","PASS WITH REDUCTION"))))</x:f>
        <x:v>HOLD</x:v>
      </x:c>
      <x:c r="N8" t="str">
        <x:v>Final verdict</x:v>
      </x:c>
      <x:c r="O8" t="str">
        <x:v>SCALE READY WITH WARNINGS</x:v>
      </x:c>
    </x:row>
    <x:row r="9">
      <x:c r="A9" s="26" t="str">
        <x:v>CFG-000008</x:v>
      </x:c>
      <x:c r="B9" s="26" t="str">
        <x:v>Dacia Sandero Stepway</x:v>
      </x:c>
      <x:c r="C9" s="26" t="str">
        <x:f>IF(COUNTIFS(QueueTable[subject_id],$A9,QueueTable[fact_key],"identity_exact_configuration",QueueTable[result],"FOUND")&gt;0,"FOUND",IF(COUNTIFS(QueueTable[subject_id],$A9,QueueTable[fact_key],"identity_exact_configuration",QueueTable[result],"NOT_FOUND")&gt;0,"NOT_FOUND",IF(COUNTIFS(QueueTable[subject_id],$A9,QueueTable[fact_key],"identity_exact_configuration",QueueTable[result],"CONFLICT")&gt;0,"CONFLICT","OPEN")))</x:f>
        <x:v>FOUND</x:v>
      </x:c>
      <x:c r="D9" s="26" t="str">
        <x:f>IF(COUNTIFS(QueueTable[subject_id],$A9,QueueTable[fact_key],"dimensions_core",QueueTable[result],"FOUND")&gt;0,"FOUND",IF(COUNTIFS(QueueTable[subject_id],$A9,QueueTable[fact_key],"dimensions_core",QueueTable[result],"NOT_FOUND")&gt;0,"NOT_FOUND",IF(COUNTIFS(QueueTable[subject_id],$A9,QueueTable[fact_key],"dimensions_core",QueueTable[result],"CONFLICT")&gt;0,"CONFLICT","OPEN")))</x:f>
        <x:v>FOUND</x:v>
      </x:c>
      <x:c r="E9" s="26" t="str">
        <x:f>IF(COUNTIFS(QueueTable[subject_id],$A9,QueueTable[fact_key],"cargo_volume_l",QueueTable[result],"FOUND")&gt;0,"FOUND",IF(COUNTIFS(QueueTable[subject_id],$A9,QueueTable[fact_key],"cargo_volume_l",QueueTable[result],"NOT_FOUND")&gt;0,"NOT_FOUND",IF(COUNTIFS(QueueTable[subject_id],$A9,QueueTable[fact_key],"cargo_volume_l",QueueTable[result],"CONFLICT")&gt;0,"CONFLICT","OPEN")))</x:f>
        <x:v>FOUND</x:v>
      </x:c>
      <x:c r="F9" s="26" t="str">
        <x:f>IF(COUNTIFS(QueueTable[subject_id],$A9,QueueTable[fact_key],"ground_clearance_mm",QueueTable[result],"FOUND")&gt;0,"FOUND",IF(COUNTIFS(QueueTable[subject_id],$A9,QueueTable[fact_key],"ground_clearance_mm",QueueTable[result],"NOT_FOUND")&gt;0,"NOT_FOUND",IF(COUNTIFS(QueueTable[subject_id],$A9,QueueTable[fact_key],"ground_clearance_mm",QueueTable[result],"CONFLICT")&gt;0,"CONFLICT","OPEN")))</x:f>
        <x:v>FOUND</x:v>
      </x:c>
      <x:c r="G9" s="26" t="str">
        <x:f>IF(COUNTIFS(QueueTable[subject_id],$A9,QueueTable[fact_key],"efficiency_or_range_core",QueueTable[result],"FOUND")&gt;0,"FOUND",IF(COUNTIFS(QueueTable[subject_id],$A9,QueueTable[fact_key],"efficiency_or_range_core",QueueTable[result],"NOT_FOUND")&gt;0,"NOT_FOUND",IF(COUNTIFS(QueueTable[subject_id],$A9,QueueTable[fact_key],"efficiency_or_range_core",QueueTable[result],"CONFLICT")&gt;0,"CONFLICT","OPEN")))</x:f>
        <x:v>FOUND</x:v>
      </x:c>
      <x:c r="H9" s="26" t="str">
        <x:f>IF(COUNTIFS(QueueTable[subject_id],$A9,QueueTable[fact_key],"equipment_mvp_core",QueueTable[result],"FOUND")&gt;0,"FOUND",IF(COUNTIFS(QueueTable[subject_id],$A9,QueueTable[fact_key],"equipment_mvp_core",QueueTable[result],"NOT_FOUND")&gt;0,"NOT_FOUND",IF(COUNTIFS(QueueTable[subject_id],$A9,QueueTable[fact_key],"equipment_mvp_core",QueueTable[result],"CONFLICT")&gt;0,"CONFLICT","OPEN")))</x:f>
        <x:v>FOUND</x:v>
      </x:c>
      <x:c r="I9" s="26" t="n">
        <x:f>COUNTIFS(QueueTable[subject_id],$A9,QueueTable[collection_status],"COMPLETE")</x:f>
        <x:v>6</x:v>
      </x:c>
      <x:c r="J9" s="26" t="n">
        <x:f>COUNTIFS(QueueTable[subject_id],$A9,QueueTable[result],"NOT_FOUND")+COUNTIFS(QueueTable[subject_id],$A9,QueueTable[result],"CONFLICT")</x:f>
        <x:v>0</x:v>
      </x:c>
      <x:c r="K9" s="61" t="n">
        <x:f>COUNTIF(C9:H9,"FOUND")/6</x:f>
        <x:v>1</x:v>
      </x:c>
      <x:c r="L9" s="26" t="str">
        <x:f>IF(COUNTIF(C9:H9,"FOUND")=6,"PASS",IF(COUNTIF(C9:H9,"OPEN")&gt;0,"HOLD",IF(COUNTIF(C9:H9,"CONFLICT")&gt;0,"PASS WITH GAPS",IF(COUNTIF(C9:H9,"NOT_FOUND")&lt;=2,"PASS WITH GAPS","PASS WITH REDUCTION"))))</x:f>
        <x:v>PASS</x:v>
      </x:c>
    </x:row>
  </x:sheetData>
  <x:conditionalFormatting sqref="L2:L9">
    <x:cfRule type="expression" dxfId="6" priority="4">
      <x:formula>L2="PASS"</x:formula>
    </x:cfRule>
    <x:cfRule type="expression" dxfId="7" priority="5">
      <x:formula>L2="PASS WITH GAPS"</x:formula>
    </x:cfRule>
    <x:cfRule type="expression" dxfId="8" priority="6">
      <x:formula>L2="HOLD"</x:formula>
    </x:cfRule>
  </x:conditionalFormatting>
  <x:conditionalFormatting sqref="C2:H9">
    <x:cfRule type="expression" dxfId="9" priority="7">
      <x:formula>C2="FOUND"</x:formula>
    </x:cfRule>
    <x:cfRule type="expression" dxfId="10" priority="8">
      <x:formula>C2="NOT_FOUND"</x:formula>
    </x:cfRule>
    <x:cfRule type="expression" dxfId="11" priority="9">
      <x:formula>C2="CONFLICT"</x:formula>
    </x:cfRule>
    <x:cfRule type="expression" dxfId="12" priority="10">
      <x:formula>C2="OPEN"</x:formula>
    </x:cfRule>
  </x:conditionalFormatting>
  <x:pageMargins left="0.7" right="0.7" top="0.75" bottom="0.75" header="0.3" footer="0.3"/>
</x:worksheet>
</file>